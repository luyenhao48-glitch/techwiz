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3"/>
    <sheet name="Summary" sheetId="2" state="visible" r:id="rId4"/>
    <sheet name="Guide" sheetId="3" state="visible" r:id="rId5"/>
  </sheets>
  <definedNames>
    <definedName function="false" hidden="false" localSheetId="2" name="_xlnm.Print_Area" vbProcedure="false">Guide!$A$1:$A$39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<sst xmlns="http://schemas.openxmlformats.org/spreadsheetml/2006/main" count="2114" uniqueCount="1317">
  <si>
    <t xml:space="preserve">FRONTEND UI TEST CASE SET - FANDOMVERSE PROJECT</t>
  </si>
  <si>
    <t xml:space="preserve">Project: FandomVerse   |   Version: v1.0 (UI-only)   |   Updated: 23/09/2026   |   Author: [Nguyen Dinh Hung]   |   Scope: Frontend UI testing only for the client-side SPA and its logic handling</t>
  </si>
  <si>
    <t xml:space="preserve">A. HOME PAGE  (12 test cases)</t>
  </si>
  <si>
    <t xml:space="preserve">No.</t>
  </si>
  <si>
    <t xml:space="preserve">ID/Test Code</t>
  </si>
  <si>
    <t xml:space="preserve">Test Name</t>
  </si>
  <si>
    <t xml:space="preserve">Test Description</t>
  </si>
  <si>
    <t xml:space="preserve">Test Environment</t>
  </si>
  <si>
    <t xml:space="preserve">Test Steps</t>
  </si>
  <si>
    <t xml:space="preserve">Test Data</t>
  </si>
  <si>
    <t xml:space="preserve">Expected Result</t>
  </si>
  <si>
    <t xml:space="preserve">Actual Result</t>
  </si>
  <si>
    <t xml:space="preserve">Evaluation</t>
  </si>
  <si>
    <t xml:space="preserve">Priority</t>
  </si>
  <si>
    <t xml:space="preserve">Tester</t>
  </si>
  <si>
    <t xml:space="preserve">Date Executed</t>
  </si>
  <si>
    <t xml:space="preserve">Notes</t>
  </si>
  <si>
    <t xml:space="preserve">TC_HOME_01</t>
  </si>
  <si>
    <t xml:space="preserve">All core homepage UI components display fully on first load</t>
  </si>
  <si>
    <t xml:space="preserve">Check that when the homepage is opened for the first time, all core UI components (logo, heading, intro, nav, carousel, chatbot) display fully.</t>
  </si>
  <si>
    <t xml:space="preserve">Web: Chrome 125+, Firefox 126+, Safari 17+ / Windows 11 &amp; macOS
URL: https://fandomverse.example.com/#home</t>
  </si>
  <si>
    <t xml:space="preserve">1. Open the browser and go to the homepage URL
2. Observe the entire screen from top to bottom
3. Compare against the component checklist in SRS section 1.6.1</t>
  </si>
  <si>
    <t xml:space="preserve">No input data needed - observe the initial page load only</t>
  </si>
  <si>
    <t xml:space="preserve">Pass</t>
  </si>
  <si>
    <t xml:space="preserve">Critical</t>
  </si>
  <si>
    <t xml:space="preserve">Happy path - always run first in the Home group.</t>
  </si>
  <si>
    <t xml:space="preserve">TC_HOME_02</t>
  </si>
  <si>
    <t xml:space="preserve">Title animation effect runs smoothly with no jank/lag</t>
  </si>
  <si>
    <t xml:space="preserve">Check that the animated title heading on the homepage runs the effect as designed without stuttering.</t>
  </si>
  <si>
    <t xml:space="preserve">1. Go to the homepage, reload (F5) 3 times in a row
2. Observe the text/logo effect in the title area on each load
3. Use DevTools &gt; Performance to record the first 5s and check FPS</t>
  </si>
  <si>
    <t xml:space="preserve">No specific input data</t>
  </si>
  <si>
    <t xml:space="preserve">The animation runs smoothly (no stutter, no flicker), repeats consistently across loads; FPS does not drop below a noticeably poor threshold (visual estimate).</t>
  </si>
  <si>
    <t xml:space="preserve">Minor</t>
  </si>
  <si>
    <t xml:space="preserve">TC_HOME_03</t>
  </si>
  <si>
    <t xml:space="preserve">Navigation bar displays all 7 categories in the correct order</t>
  </si>
  <si>
    <t xml:space="preserve">Check that the homepage navbar/grid displays all 7 categories, in the correct order per the SRS.</t>
  </si>
  <si>
    <t xml:space="preserve">1. Go to the homepage
2. Observe the category list on the nav bar or category grid
3. Compare names and order against SRS section 1.2</t>
  </si>
  <si>
    <t xml:space="preserve">Expected list: Anime, Gaming, Movies, TV Shows, K-Pop, Comics, Manga</t>
  </si>
  <si>
    <t xml:space="preserve">All 7 categories display in the correct order, with no missing/extra items or spelling errors in category names.</t>
  </si>
  <si>
    <t xml:space="preserve">Major</t>
  </si>
  <si>
    <t xml:space="preserve">  the category universe section is missing a category</t>
  </si>
  <si>
    <t xml:space="preserve">TC_HOME_04</t>
  </si>
  <si>
    <t xml:space="preserve">Clicking each category navigates correctly to the corresponding Category Hub</t>
  </si>
  <si>
    <t xml:space="preserve">Check that clicking each navbar item navigates correctly to its Category Hub (data-driven for all 7 categories).</t>
  </si>
  <si>
    <t xml:space="preserve">1. Go to the homepage
2. Click each category on the navbar in turn (7 times)
3. After each click, observe the URL hash and displayed page title</t>
  </si>
  <si>
    <t xml:space="preserve">7 categories: Anime, Gaming, Movies, TV Shows, K-Pop, Comics, Manga</t>
  </si>
  <si>
    <t xml:space="preserve">Each click navigates correctly to the matching Category Hub (URL hash changes correctly, page title matches category name), with no wrong navigation.</t>
  </si>
  <si>
    <t xml:space="preserve">Data-driven testing for all 7 categories.</t>
  </si>
  <si>
    <t xml:space="preserve">TC_HOME_05</t>
  </si>
  <si>
    <t xml:space="preserve">Featured content carousel auto-advances slides over time</t>
  </si>
  <si>
    <t xml:space="preserve">Check that the Featured Content area on the homepage automatically advances slides after a fixed interval.</t>
  </si>
  <si>
    <t xml:space="preserve">1. Go to the homepage
2. Without interacting, observe and time the interval between 2 consecutive slide changes (measure 3 times)
3. Record the content shown in each slide</t>
  </si>
  <si>
    <t xml:space="preserve">The carousel auto-advances at a consistent interval (small margin of error); each slide's content matches its corresponding image/title in the JSON data.</t>
  </si>
  <si>
    <t xml:space="preserve">Fail</t>
  </si>
  <si>
    <t xml:space="preserve">missing automatic slide transition</t>
  </si>
  <si>
    <t xml:space="preserve">TC_HOME_06</t>
  </si>
  <si>
    <t xml:space="preserve">Manual carousel navigation via Next/Prev buttons and index dots</t>
  </si>
  <si>
    <t xml:space="preserve">Check that users can manually change slides using the arrow buttons or by clicking the index dots.</t>
  </si>
  <si>
    <t xml:space="preserve">1. Go to the homepage
2. Click Next twice, observe the slide changes in the correct order
3. Click Prev once, observe it returns to the correct previous slide
4. Click directly on any index dot</t>
  </si>
  <si>
    <t xml:space="preserve">The slide changes correctly for all 3 interaction methods; the active index dot correctly updates to reflect the current slide position.</t>
  </si>
  <si>
    <t xml:space="preserve">no prev and start button to click </t>
  </si>
  <si>
    <t xml:space="preserve">TC_HOME_07</t>
  </si>
  <si>
    <t xml:space="preserve">Clicking a carousel item navigates correctly to its detail page</t>
  </si>
  <si>
    <t xml:space="preserve">Check that clicking an item in the Featured Content carousel navigates correctly to the matching content detail page.</t>
  </si>
  <si>
    <t xml:space="preserve">1. Go to the homepage
2. Note the title of the item currently shown in the carousel
3. Click on that item
4. Observe the page navigated to</t>
  </si>
  <si>
    <t xml:space="preserve">Any carousel item currently shown (article/trailer/event)</t>
  </si>
  <si>
    <t xml:space="preserve">Navigates correctly to the detail page of the clicked item; the detail page content matches the item selected in the carousel.</t>
  </si>
  <si>
    <t xml:space="preserve">TC_HOME_08</t>
  </si>
  <si>
    <t xml:space="preserve">The chatbot launcher icon stays fixed in place while scrolling</t>
  </si>
  <si>
    <t xml:space="preserve">Check that the floating chatbot icon stays fixed in its position on screen as the user scrolls the homepage.</t>
  </si>
  <si>
    <t xml:space="preserve">1. Go to the homepage
2. Scroll all the way down (scroll to bottom)
3. Observe the chatbot icon's position throughout the scroll</t>
  </si>
  <si>
    <t xml:space="preserve">The chatbot icon stays fixed in the same screen corner throughout scrolling, without being obscured by other content.</t>
  </si>
  <si>
    <t xml:space="preserve">TC_HOME_09</t>
  </si>
  <si>
    <t xml:space="preserve">The homepage displays correctly and responsively on mobile devices</t>
  </si>
  <si>
    <t xml:space="preserve">Check that the homepage layout correctly switches to the mobile UI (hamburger menu, vertical/swipeable carousel) when accessed from a mobile device.</t>
  </si>
  <si>
    <t xml:space="preserve">1. Open a mobile browser or shrink the viewport to 375px
2. Go to the homepage
3. Check that the nav menu switches to a hamburger/collapsed form
4. Swipe the Featured Content carousel</t>
  </si>
  <si>
    <t xml:space="preserve">Layout is not broken and does not overflow horizontally; the collapsed hamburger nav menu works correctly; the carousel can be swiped via touch.</t>
  </si>
  <si>
    <t xml:space="preserve">TC_HOME_10</t>
  </si>
  <si>
    <t xml:space="preserve">The homepage shows a loading state while fetching JSON data</t>
  </si>
  <si>
    <t xml:space="preserve">Check that the UI shows a reasonable skeleton/spinner while the Featured Content JSON files are being fetched.</t>
  </si>
  <si>
    <t xml:space="preserve">1. Open DevTools &gt; Network, enable "Slow 3G" throttling
2. Go to / reload the homepage
3. Observe the UI state while the data is loading</t>
  </si>
  <si>
    <t xml:space="preserve">Network condition: Slow 3G (throttled)</t>
  </si>
  <si>
    <t xml:space="preserve">A skeleton loader or spinner is shown in the carousel/content area while waiting for data, with no blank/broken layout shown during the wait.</t>
  </si>
  <si>
    <t xml:space="preserve">Testing the experience under a slow network.</t>
  </si>
  <si>
    <t xml:space="preserve">TC_HOME_11</t>
  </si>
  <si>
    <t xml:space="preserve">Handling when the Featured Content JSON file fails or cannot be loaded</t>
  </si>
  <si>
    <t xml:space="preserve">Check that the UI handles this reasonably (no blank-page crash) when the featured-content JSON data file fails or is unreachable.</t>
  </si>
  <si>
    <t xml:space="preserve">1. Use DevTools &gt; Network to block the request to contents.json or events.json
2. Reload the homepage
3. Observe the Featured Content area</t>
  </si>
  <si>
    <t xml:space="preserve">The request for the Featured Content JSON data file is blocked (simulated load failure)</t>
  </si>
  <si>
    <t xml:space="preserve">The Featured Content area shows a reasonable error/empty-state message (e.g. "Unable to load content, please try again"); the rest of the page keeps working normally, with no serious console errors.</t>
  </si>
  <si>
    <t xml:space="preserve">B. FANDOM CATEGORY (CATEGORY HUB)  (20 test cases)</t>
  </si>
  <si>
    <t xml:space="preserve">TC_CAT_01</t>
  </si>
  <si>
    <t xml:space="preserve">Visiting the Anime Category Hub shows the correct content list (Happy path)</t>
  </si>
  <si>
    <t xml:space="preserve">Check that visiting the "Anime" Category Hub renders the correct list of content cards from contents.json.</t>
  </si>
  <si>
    <t xml:space="preserve">Web: Chrome 125+, Firefox 126+, Safari 17+ / Windows 11 &amp; macOS
URL: https://fandomverse.example.com/#anime</t>
  </si>
  <si>
    <t xml:space="preserve">1. Go to the homepage
2. Click the "Anime" category
3. Observe the displayed list of content cards
4. Compare the count/content against the sample contents.json data</t>
  </si>
  <si>
    <t xml:space="preserve">Category: Anime</t>
  </si>
  <si>
    <t xml:space="preserve">The Anime content card list displays fully and matches the source data, with no empty cards or content from the wrong category.</t>
  </si>
  <si>
    <t xml:space="preserve">Happy path - runs first in the Category Hub group.</t>
  </si>
  <si>
    <t xml:space="preserve">TC_CAT_02</t>
  </si>
  <si>
    <t xml:space="preserve">Content cards display all required fields</t>
  </si>
  <si>
    <t xml:space="preserve">Check that every content card in the Category Hub shows Title, Thumbnail, Short description, Content type, and Sub-tag.</t>
  </si>
  <si>
    <t xml:space="preserve">1. Go to any Category Hub (e.g. Gaming)
2. Randomly select 3 cards
3. Check each field shown on every card</t>
  </si>
  <si>
    <t xml:space="preserve">Category: Gaming, check 3 random cards</t>
  </si>
  <si>
    <t xml:space="preserve">Every card shows all 5 fields: Title, Thumbnail, Short description, Content type (badge/icon), Sub-tag; no field is missing or shows "undefined".</t>
  </si>
  <si>
    <t xml:space="preserve">TC_CAT_03</t>
  </si>
  <si>
    <t xml:space="preserve">Data-driven: all 7 Category Hubs show distinct content correctly</t>
  </si>
  <si>
    <t xml:space="preserve">Check that each of the 7 Category Hubs only shows content belonging to its own category, with no cross-contamination from other categories.</t>
  </si>
  <si>
    <t xml:space="preserve">1. Visit each Category Hub in turn: Anime, Gaming, Movies, TV Shows, K-Pop, Comics, Manga
2. For each hub, check that every card shown belongs to the selected category</t>
  </si>
  <si>
    <t xml:space="preserve">Each Category Hub only shows content from its own category; no hub shows a card belonging to a different category.</t>
  </si>
  <si>
    <t xml:space="preserve">Data-driven testing across all 7 categories.</t>
  </si>
  <si>
    <t xml:space="preserve">TC_CAT_04</t>
  </si>
  <si>
    <t xml:space="preserve">The content-type filter works correctly</t>
  </si>
  <si>
    <t xml:space="preserve">Check that the Content Type filter (Article/Gallery/Video/Audio/Character/Event/Merchandise/Release) correctly filters the displayed card list.</t>
  </si>
  <si>
    <t xml:space="preserve">1. Go to the "Movies" Category Hub
2. Select each content type in the filter, one at a time
3. After each selection, check that the card list only shows the selected type</t>
  </si>
  <si>
    <t xml:space="preserve">Category: Movies; select each type in turn: Article, Gallery, Video, Audio, Character, Event, Merchandise, Release</t>
  </si>
  <si>
    <t xml:space="preserve">For each selection, the list only shows cards of the selected content type, with no other types mixed in.</t>
  </si>
  <si>
    <t xml:space="preserve">Data-driven for 8 content types.</t>
  </si>
  <si>
    <t xml:space="preserve">TC_CAT_05</t>
  </si>
  <si>
    <t xml:space="preserve">Selecting multiple content-type filters at once (multi-select)</t>
  </si>
  <si>
    <t xml:space="preserve">Check that selecting several content types at once in the filter shows the correct union of the selected types.</t>
  </si>
  <si>
    <t xml:space="preserve">1. Go to the "Comics" Category Hub
2. Tick two types at once: "Gallery" and "Video"
3. Observe the resulting card list</t>
  </si>
  <si>
    <t xml:space="preserve">Category: Comics; select simultaneously: Gallery + Video</t>
  </si>
  <si>
    <t xml:space="preserve">The list correctly shows all cards that are Gallery OR Video, with no other types shown and no duplicate cards.</t>
  </si>
  <si>
    <t xml:space="preserve">TC_CAT_06</t>
  </si>
  <si>
    <t xml:space="preserve">The category sub-tag filter works correctly</t>
  </si>
  <si>
    <t xml:space="preserve">Check that the sub-tag filter (e.g. Shounen, Isekai for Anime) correctly filters the corresponding card list.</t>
  </si>
  <si>
    <t xml:space="preserve">1. Go to the "Anime" Category Hub
2. Select the "Isekai" sub-tag in the filter
3. Observe the resulting card list</t>
  </si>
  <si>
    <t xml:space="preserve">Category: Anime; Sub-tag: Isekai</t>
  </si>
  <si>
    <t xml:space="preserve">The list only shows cards tagged with the "Isekai" sub-tag, with no content outside that sub-tag mixed in.</t>
  </si>
  <si>
    <t xml:space="preserve">TC_CAT_07</t>
  </si>
  <si>
    <t xml:space="preserve">Alphabetical sorting (A-Z and Z-A) works correctly</t>
  </si>
  <si>
    <t xml:space="preserve">Check that the alphabetical sort option correctly sorts by Title in both ascending and descending order.</t>
  </si>
  <si>
    <t xml:space="preserve">1. Go to the "TV Shows" Category Hub
2. Select Sort "A-Z", note the Title order of the first 5 cards
3. Select Sort "Z-A", note the order again</t>
  </si>
  <si>
    <t xml:space="preserve">Category: TV Shows; Sort: A-Z, Z-A</t>
  </si>
  <si>
    <t xml:space="preserve">The list sorts alphabetically ascending when "A-Z" is selected, and descending when "Z-A" is selected.</t>
  </si>
  <si>
    <t xml:space="preserve">TC_CAT_08</t>
  </si>
  <si>
    <t xml:space="preserve">"Newest" sort shows the most recent content first</t>
  </si>
  <si>
    <t xml:space="preserve">Check that the "Newest" sort option correctly shows the content with the most recent post/release date first.</t>
  </si>
  <si>
    <t xml:space="preserve">1. Go to the "K-Pop" Category Hub
2. Select Sort "Newest"
3. Compare the post dates of the first 3 cards</t>
  </si>
  <si>
    <t xml:space="preserve">Category: K-Pop; Sort: Newest</t>
  </si>
  <si>
    <t xml:space="preserve">The first 3 cards have the most recent post/release dates, in descending order down the list.</t>
  </si>
  <si>
    <t xml:space="preserve">TC_CAT_09</t>
  </si>
  <si>
    <t xml:space="preserve">Popularity/Featured sort works correctly</t>
  </si>
  <si>
    <t xml:space="preserve">Check that the popularity/featured sort option correctly orders items according to the featured/popularity flag in the data.</t>
  </si>
  <si>
    <t xml:space="preserve">1. Go to the "Manga" Category Hub
2. Select Sort "Popularity/Featured"
3. Compare the displayed order against the popularity/featured field in contents.json</t>
  </si>
  <si>
    <t xml:space="preserve">Category: Manga; Sort: Popularity/Featured</t>
  </si>
  <si>
    <t xml:space="preserve">The list sorts correctly by descending popularity/featured, matching the source data.</t>
  </si>
  <si>
    <t xml:space="preserve">TC_CAT_10</t>
  </si>
  <si>
    <t xml:space="preserve">Applying Filter and Sort together</t>
  </si>
  <si>
    <t xml:space="preserve">Check that applying a content-type filter and a sort option at the same time shows results that satisfy both conditions.</t>
  </si>
  <si>
    <t xml:space="preserve">1. Go to the "Gaming" Category Hub
2. Select Filter "Video"
3. Also select Sort "Newest"
4. Observe the resulting list</t>
  </si>
  <si>
    <t xml:space="preserve">Category: Gaming; Filter: Video; Sort: Newest</t>
  </si>
  <si>
    <t xml:space="preserve">The list only shows Video cards, correctly sorted by Newest (most recent first).</t>
  </si>
  <si>
    <t xml:space="preserve">TC_CAT_11</t>
  </si>
  <si>
    <t xml:space="preserve">The Clear Filters button resets the list to full</t>
  </si>
  <si>
    <t xml:space="preserve">Check that the Clear Filters button returns the list to its original state, with no filter/sort applied.</t>
  </si>
  <si>
    <t xml:space="preserve">1. In any Category Hub, apply a content-type filter and a sort option
2. Click the "Clear Filters" button
3. Observe the list and the state of the filter/sort controls</t>
  </si>
  <si>
    <t xml:space="preserve">Any category (e.g. Anime); Filter: Character; Sort: Newest</t>
  </si>
  <si>
    <t xml:space="preserve">The list returns to showing the full content of the category; the filter/sort controls return to their default (unselected) state.</t>
  </si>
  <si>
    <t xml:space="preserve">TC_CAT_12</t>
  </si>
  <si>
    <t xml:space="preserve">Empty state when the filter matches no content</t>
  </si>
  <si>
    <t xml:space="preserve">Check that the UI shows a reasonable message when a filter combination results in no matches.</t>
  </si>
  <si>
    <t xml:space="preserve">1. Go to the "K-Pop" Category Hub
2. Select a combination of Filter "Merchandise" + a sub-tag with no matching data (if applicable)
3. Observe the results area</t>
  </si>
  <si>
    <t xml:space="preserve">Category: K-Pop; a filter combination with no matching data</t>
  </si>
  <si>
    <t xml:space="preserve">A clear "No matching content found" message/illustration is shown, with no blank box or UI error.</t>
  </si>
  <si>
    <t xml:space="preserve">TC_CAT_13</t>
  </si>
  <si>
    <t xml:space="preserve">Clicking a content card navigates correctly to the detail page</t>
  </si>
  <si>
    <t xml:space="preserve">Check that clicking any card in the Category Hub navigates correctly to the detail page matching that card's content type.</t>
  </si>
  <si>
    <t xml:space="preserve">1. Go to the "Comics" Category Hub
2. Select an "Article" card and click it
3. Observe the page navigated to
4. Go back, repeat with a "Character" card</t>
  </si>
  <si>
    <t xml:space="preserve">Category: Comics; card types: Article, Character</t>
  </si>
  <si>
    <t xml:space="preserve">Each card type navigates correctly to the matching detail-page format (an article page for Article, a profile page for Character), with content matching the selected card.</t>
  </si>
  <si>
    <t xml:space="preserve">TC_CAT_14</t>
  </si>
  <si>
    <t xml:space="preserve">Load more/pagination when a category has a lot of content</t>
  </si>
  <si>
    <t xml:space="preserve">Check that the Load more/Infinite scroll mechanism works correctly when a Category Hub has more content than fits on one page.</t>
  </si>
  <si>
    <t xml:space="preserve">1. Go to the Category Hub with the most content (e.g. Anime)
2. Scroll to the bottom of the current list or click "Load more" (if present)
3. Observe the newly loaded content</t>
  </si>
  <si>
    <t xml:space="preserve">Category: Anime (assuming it has many records in contents.json)</t>
  </si>
  <si>
    <t xml:space="preserve">The newly loaded content is correct and does not duplicate previously shown content; a loading state is shown while loading more.</t>
  </si>
  <si>
    <t xml:space="preserve">Only applies if the category has enough data to span more than one page.</t>
  </si>
  <si>
    <t xml:space="preserve">TC_CAT_15</t>
  </si>
  <si>
    <t xml:space="preserve">Cards display reasonably when an optional JSON field is missing</t>
  </si>
  <si>
    <t xml:space="preserve">Check that the UI handles it reasonably when a record in contents.json is missing an optional field (e.g. missing thumbnail).</t>
  </si>
  <si>
    <t xml:space="preserve">1. Prepare a test record missing the "thumbnail" field in contents.json (Staging environment)
2. Go to the Category Hub containing that record
3. Observe the corresponding card</t>
  </si>
  <si>
    <t xml:space="preserve">A record missing the thumbnail field</t>
  </si>
  <si>
    <t xml:space="preserve">The card shows a default placeholder image in place of the missing thumbnail, with no broken layout and no blank box/broken-image icon.</t>
  </si>
  <si>
    <t xml:space="preserve">TC_CAT_16</t>
  </si>
  <si>
    <t xml:space="preserve">Breadcrumb displays correctly while inside a Category Hub</t>
  </si>
  <si>
    <t xml:space="preserve">Check that the breadcrumb shows the correct path while the user is in any Category Hub.</t>
  </si>
  <si>
    <t xml:space="preserve">1. Go to the "Movies" Category Hub
2. Observe the breadcrumb at the top of the page</t>
  </si>
  <si>
    <t xml:space="preserve">Category: Movies</t>
  </si>
  <si>
    <t xml:space="preserve">The breadcrumb shows the correct format "Home &gt; Movies", with each link being a working link.</t>
  </si>
  <si>
    <t xml:space="preserve">TC_CAT_17</t>
  </si>
  <si>
    <t xml:space="preserve">Category Hub is responsive correctly on tablet and mobile</t>
  </si>
  <si>
    <t xml:space="preserve">Check that the card grid in the Category Hub scales reasonably for tablet and mobile screen sizes.</t>
  </si>
  <si>
    <t xml:space="preserve">Mobile: Android 14 (Samsung/Pixel) &amp; iOS 17 - Safari/Chrome Mobile
URL: https://fandomverse.example.com/#anime</t>
  </si>
  <si>
    <t xml:space="preserve">1. Shrink the viewport to tablet size (768px), go to the "Anime" Category Hub
2. Observe the number of grid columns
3. Shrink further to mobile size (375px), observe again</t>
  </si>
  <si>
    <t xml:space="preserve">Category: Anime; viewport: 768px and 375px</t>
  </si>
  <si>
    <t xml:space="preserve">The card grid automatically reduces the number of columns appropriately for each screen size, with no horizontal overflow and no distorted/overlapping cards.</t>
  </si>
  <si>
    <t xml:space="preserve">TC_CAT_18</t>
  </si>
  <si>
    <t xml:space="preserve">Category Hub load performance with a large JSON dataset</t>
  </si>
  <si>
    <t xml:space="preserve">Check that the UI does not freeze/stutter when the Category Hub loads a large number of records from JSON.</t>
  </si>
  <si>
    <t xml:space="preserve">1. Prepare a test contents.json file with a large number of records (e.g. 500 records) for one category (Staging environment)
2. Go to the corresponding Category Hub
3. Observe load time and scroll smoothness</t>
  </si>
  <si>
    <t xml:space="preserve">contents.json with ~500 records for one test category</t>
  </si>
  <si>
    <t xml:space="preserve">The page loads within a reasonable time, with a clear loading state; scrolling is smooth, with no UI freeze/hang.</t>
  </si>
  <si>
    <t xml:space="preserve">Performance testing with large datasets.</t>
  </si>
  <si>
    <t xml:space="preserve">TC_CAT_19</t>
  </si>
  <si>
    <t xml:space="preserve">Filter/Sort state is preserved when returning from a detail page</t>
  </si>
  <si>
    <t xml:space="preserve">Check that after the user applies a filter/sort, opens a detail card, then presses Back, the filter/sort state on the Category Hub is preserved.</t>
  </si>
  <si>
    <t xml:space="preserve">1. Go to the "Gaming" Category Hub, apply Filter "Video" + Sort "Newest"
2. Click any card to open its detail page
3. Press the browser's Back button</t>
  </si>
  <si>
    <t xml:space="preserve">After pressing Back, the Category Hub correctly shows the previously applied Filter "Video" and Sort "Newest" state again, without resetting to default.</t>
  </si>
  <si>
    <t xml:space="preserve">TC_CAT_20</t>
  </si>
  <si>
    <t xml:space="preserve">Keyboard accessibility for the Category Hub filters</t>
  </si>
  <si>
    <t xml:space="preserve">Check that users can navigate and select the filter/sort controls entirely with the keyboard.</t>
  </si>
  <si>
    <t xml:space="preserve">1. Go to the "Manga" Category Hub
2. Use Tab to move to the Filter control, use Space/Enter to select a content type
3. Continue Tabbing to the Sort control, select an option with the keyboard</t>
  </si>
  <si>
    <t xml:space="preserve">Category: Manga</t>
  </si>
  <si>
    <t xml:space="preserve">All filter/sort controls can be fully operated with the keyboard, with a clear focus outline; the filter/sort results apply correctly, same as when using a mouse.</t>
  </si>
  <si>
    <t xml:space="preserve">Accessibility (A11y) testing.</t>
  </si>
  <si>
    <t xml:space="preserve">C. GLOBAL SEARCH  (15 test cases)</t>
  </si>
  <si>
    <t xml:space="preserve">TC_SEARCH_01</t>
  </si>
  <si>
    <t xml:space="preserve">The search bar is accessible from every page</t>
  </si>
  <si>
    <t xml:space="preserve">Check that the search bar is fixed in the Header and accessible from every page in the system.</t>
  </si>
  <si>
    <t xml:space="preserve">Web: Chrome 125+, Firefox 126+, Safari 17+ / Windows 11 &amp; macOS
URL: https://fandomverse.example.com/#search</t>
  </si>
  <si>
    <t xml:space="preserve">1. Visit in turn: Home, a Category Hub, an article detail page, the Merchandise page
2. On each page, observe the search bar's position in the Header</t>
  </si>
  <si>
    <t xml:space="preserve">The search bar always displays in the same position in the Header across all 4 pages checked.</t>
  </si>
  <si>
    <t xml:space="preserve">TC_SEARCH_02</t>
  </si>
  <si>
    <t xml:space="preserve">Searching with a valid keyword returns correct results (Happy path)</t>
  </si>
  <si>
    <t xml:space="preserve">Check that entering a valid keyword and searching returns an accurate list of related results.</t>
  </si>
  <si>
    <t xml:space="preserve">1. Click the search bar
2. Enter the keyword "Naruto"
3. Press Enter or the Search button
4. Observe the search results page</t>
  </si>
  <si>
    <t xml:space="preserve">Keyword: Naruto</t>
  </si>
  <si>
    <t xml:space="preserve">The results page correctly shows content related to the keyword "Naruto" (articles, characters, gallery, etc. if applicable), with no unrelated content mixed in.</t>
  </si>
  <si>
    <t xml:space="preserve">Happy path - runs first in the Search group.</t>
  </si>
  <si>
    <t xml:space="preserve">TC_SEARCH_03</t>
  </si>
  <si>
    <t xml:space="preserve">Search is case-insensitive</t>
  </si>
  <si>
    <t xml:space="preserve">Check that search results are the same whether the keyword is entered in uppercase, lowercase, or mixed case.</t>
  </si>
  <si>
    <t xml:space="preserve">1. Search with the keyword "anime" (lowercase), note the results
2. Search again with "ANIME" (uppercase)
3. Search again with "AnIme" (mixed case)</t>
  </si>
  <si>
    <t xml:space="preserve">Keyword: anime / ANIME / AnIme</t>
  </si>
  <si>
    <t xml:space="preserve">All 3 searches return the exact same result set, regardless of case.</t>
  </si>
  <si>
    <t xml:space="preserve">TC_SEARCH_04</t>
  </si>
  <si>
    <t xml:space="preserve">Search with a Vietnamese keyword containing diacritics</t>
  </si>
  <si>
    <t xml:space="preserve">Check that searching with a Vietnamese keyword containing diacritics returns the correct related results.</t>
  </si>
  <si>
    <t xml:space="preserve">1. Enter a Vietnamese keyword with diacritics into the search box
2. Press Enter
3. Observe the returned results</t>
  </si>
  <si>
    <t xml:space="preserve">Keyword: "nhân vật hoạt hình" (animated character)</t>
  </si>
  <si>
    <t xml:space="preserve">The results correctly return content related to the Vietnamese keyword with diacritics, with no encoding errors or garbled characters.</t>
  </si>
  <si>
    <t xml:space="preserve">TC_SEARCH_05</t>
  </si>
  <si>
    <t xml:space="preserve">Filtering search results by Category</t>
  </si>
  <si>
    <t xml:space="preserve">Check that the Category filter on the search results page correctly filters the list by the selected category.</t>
  </si>
  <si>
    <t xml:space="preserve">1. Search with a general keyword (e.g. "hero")
2. On the results page, select Filter Category = "Comics"
3. Observe the filtered result list</t>
  </si>
  <si>
    <t xml:space="preserve">Keyword: hero; Category filter: Comics</t>
  </si>
  <si>
    <t xml:space="preserve">The result list only shows content in the Comics category matching the keyword; other categories no longer display.</t>
  </si>
  <si>
    <t xml:space="preserve">TC_SEARCH_06</t>
  </si>
  <si>
    <t xml:space="preserve">Filtering search results by content type</t>
  </si>
  <si>
    <t xml:space="preserve">Check that the Content Type filter on the search results page correctly filters by the selected content type.</t>
  </si>
  <si>
    <t xml:space="preserve">1. Search with a general keyword (e.g. "world")
2. Select Filter Content Type = "Video"
3. Observe the result list</t>
  </si>
  <si>
    <t xml:space="preserve">Keyword: world; Content Type filter: Video</t>
  </si>
  <si>
    <t xml:space="preserve">The result list only shows Video content matching the keyword.</t>
  </si>
  <si>
    <t xml:space="preserve">Untested</t>
  </si>
  <si>
    <t xml:space="preserve">TC_SEARCH_07</t>
  </si>
  <si>
    <t xml:space="preserve">Combining Category and Content Type filters on the search results page</t>
  </si>
  <si>
    <t xml:space="preserve">Check that applying both filters at once shows results matching both conditions.</t>
  </si>
  <si>
    <t xml:space="preserve">1. Search with a general keyword
2. Select Category = "Gaming" and Content Type = "Character"
3. Observe the results</t>
  </si>
  <si>
    <t xml:space="preserve">Keyword: general; Category: Gaming; Content Type: Character</t>
  </si>
  <si>
    <t xml:space="preserve">The results only show content that is both in the Gaming category AND of type Character, matching the search keyword.</t>
  </si>
  <si>
    <t xml:space="preserve">TC_SEARCH_08</t>
  </si>
  <si>
    <t xml:space="preserve">Search with no matching results (Empty state)</t>
  </si>
  <si>
    <t xml:space="preserve">Check that the UI shows a reasonable message with a suggestion when the search keyword matches no content.</t>
  </si>
  <si>
    <t xml:space="preserve">1. Enter a nonsensical/nonexistent keyword into the search box
2. Press Enter
3. Observe the results page</t>
  </si>
  <si>
    <t xml:space="preserve">Keyword: "xyzkhongtontai12345"</t>
  </si>
  <si>
    <t xml:space="preserve">Shows a "No matching results found" message with a suggestion (e.g. check spelling, try another keyword, or suggested popular categories).</t>
  </si>
  <si>
    <t xml:space="preserve">TC_SEARCH_09</t>
  </si>
  <si>
    <t xml:space="preserve">Searching with an empty input box</t>
  </si>
  <si>
    <t xml:space="preserve">Check the UI behavior when the user presses Enter/the Search button while the search box is empty.</t>
  </si>
  <si>
    <t xml:space="preserve">1. Click the search box without typing anything
2. Press Enter or the Search button</t>
  </si>
  <si>
    <t xml:space="preserve">Keyword: (empty)</t>
  </si>
  <si>
    <t xml:space="preserve">The UI does not perform a search or shows a message asking for a keyword; it does not navigate to a meaningless empty results page.</t>
  </si>
  <si>
    <t xml:space="preserve">TC_SEARCH_10</t>
  </si>
  <si>
    <t xml:space="preserve">Instant search suggestions while typing (Autosuggest)</t>
  </si>
  <si>
    <t xml:space="preserve">Check that a suggestion list appears instantly as the user types a keyword (if this feature is implemented).</t>
  </si>
  <si>
    <t xml:space="preserve">1. Click the search box
2. Type the keyword "gam" character by character
3. Observe the suggestion list appearing below the input box</t>
  </si>
  <si>
    <t xml:space="preserve">Keyword being typed: gam</t>
  </si>
  <si>
    <t xml:space="preserve">A list of related suggestions appears almost instantly while typing, updating with each character; clicking a suggestion navigates correctly to the matching result.</t>
  </si>
  <si>
    <t xml:space="preserve">Only applies if the system has implemented autosuggest.</t>
  </si>
  <si>
    <t xml:space="preserve">TC_SEARCH_11</t>
  </si>
  <si>
    <t xml:space="preserve">Safe display when a script is entered into the search box</t>
  </si>
  <si>
    <t xml:space="preserve">Check that the UI re-displays the keyword as plain text and does not execute any code when the user enters a script snippet into the search box.</t>
  </si>
  <si>
    <t xml:space="preserve">1. Enter a script snippet into the search box
2. Press Enter
3. Observe the results page and the keyword shown back (if echoed)</t>
  </si>
  <si>
    <t xml:space="preserve">Keyword: &lt;script&gt;alert('xss')&lt;/script&gt;</t>
  </si>
  <si>
    <t xml:space="preserve">The keyword is displayed as plain text (if echoed back), no unexpected popup/alert appears, and no code is executed.</t>
  </si>
  <si>
    <t xml:space="preserve">Testing safe display of input data (client-side rendering).</t>
  </si>
  <si>
    <t xml:space="preserve">TC_SEARCH_12</t>
  </si>
  <si>
    <t xml:space="preserve">Search keyword length limit</t>
  </si>
  <si>
    <t xml:space="preserve">Check that the UI handles a very long search keyword reasonably.</t>
  </si>
  <si>
    <t xml:space="preserve">1. Enter a string about 500 characters long into the search box
2. Press Enter</t>
  </si>
  <si>
    <t xml:space="preserve">Keyword: a repeated 500-character string</t>
  </si>
  <si>
    <t xml:space="preserve">The UI handles it reasonably (blocks input beyond the maxlength, or searches and returns an Empty state), with no browser hang/crash.</t>
  </si>
  <si>
    <t xml:space="preserve">TC_SEARCH_13</t>
  </si>
  <si>
    <t xml:space="preserve">Search with special characters does not crash the UI</t>
  </si>
  <si>
    <t xml:space="preserve">Check that the UI remains stable when the keyword contains many consecutive special characters.</t>
  </si>
  <si>
    <t xml:space="preserve">1. Enter a string of special characters into the search box
2. Press Enter</t>
  </si>
  <si>
    <t xml:space="preserve">Keyword: !@#$%^&amp;*()_+={}[]</t>
  </si>
  <si>
    <t xml:space="preserve">The UI does not crash/hang, returns an Empty state or a reasonable message, and no serious console error occurs.</t>
  </si>
  <si>
    <t xml:space="preserve">TC_SEARCH_14</t>
  </si>
  <si>
    <t xml:space="preserve">Clicking a search result navigates correctly to the detail page</t>
  </si>
  <si>
    <t xml:space="preserve">Check that clicking a search result navigates correctly to its matching detail page.</t>
  </si>
  <si>
    <t xml:space="preserve">1. Search with a valid keyword that returns results
2. Click any result in the list
3. Observe the page navigated to</t>
  </si>
  <si>
    <t xml:space="preserve">Keyword: any keyword with results (e.g. Naruto)</t>
  </si>
  <si>
    <t xml:space="preserve">Navigates correctly to the detail page of the selected result; the content matches the result shown on the search page.</t>
  </si>
  <si>
    <t xml:space="preserve">TC_SEARCH_15</t>
  </si>
  <si>
    <t xml:space="preserve">Search works correctly and responsively on mobile devices</t>
  </si>
  <si>
    <t xml:space="preserve">Check that the search function and results page display correctly on a mobile device.</t>
  </si>
  <si>
    <t xml:space="preserve">Mobile: Android 14 (Samsung/Pixel) &amp; iOS 17 - Safari/Chrome Mobile
URL: https://fandomverse.example.com/#search</t>
  </si>
  <si>
    <t xml:space="preserve">1. Open a mobile browser, go to the homepage
2. Open the search bar (via the icon if collapsed on mobile)
3. Enter a keyword and search
4. Observe the results page on the small screen</t>
  </si>
  <si>
    <t xml:space="preserve">Keyword: manga</t>
  </si>
  <si>
    <t xml:space="preserve">The search box is easy to use on mobile; the results page shows in a list/grid form suited to the small screen, with no horizontal overflow.</t>
  </si>
  <si>
    <t xml:space="preserve">D. IMAGE GALLERY / LIGHTBOX  (10 test cases)</t>
  </si>
  <si>
    <t xml:space="preserve">TC_GAL_01</t>
  </si>
  <si>
    <t xml:space="preserve">The image gallery displays correctly as a thumbnail grid</t>
  </si>
  <si>
    <t xml:space="preserve">Check that the image gallery area in the Category Hub displays correctly as a grid of thumbnail images.</t>
  </si>
  <si>
    <t xml:space="preserve">Web: Chrome 125+, Firefox 126+, Safari 17+ / Windows 11 &amp; macOS
URL: https://fandomverse.example.com/#anime/gallery</t>
  </si>
  <si>
    <t xml:space="preserve">1. Go to a Category Hub that has Gallery content (e.g. Anime)
2. Open the Gallery area/tab
3. Observe the image grid layout</t>
  </si>
  <si>
    <t xml:space="preserve">Category: Anime, content type: Gallery</t>
  </si>
  <si>
    <t xml:space="preserve">Images display in an even grid, with uniform thumbnail size and no distorted aspect ratios.</t>
  </si>
  <si>
    <t xml:space="preserve">TC_GAL_02</t>
  </si>
  <si>
    <t xml:space="preserve">Clicking a thumbnail correctly opens the enlarged Lightbox</t>
  </si>
  <si>
    <t xml:space="preserve">Check that clicking a thumbnail correctly opens the Lightbox view with the enlarged image.</t>
  </si>
  <si>
    <t xml:space="preserve">1. Open the Gallery area of a Category Hub
2. Click any thumbnail
3. Observe the Lightbox opening</t>
  </si>
  <si>
    <t xml:space="preserve">Any thumbnail in the Gallery</t>
  </si>
  <si>
    <t xml:space="preserve">The Lightbox opens showing the clicked image at a larger size, with the background dimmed/darkened (overlay).</t>
  </si>
  <si>
    <t xml:space="preserve">TC_GAL_03</t>
  </si>
  <si>
    <t xml:space="preserve">Navigating to the next/previous image in the Lightbox via arrow buttons</t>
  </si>
  <si>
    <t xml:space="preserve">Check that the Next/Prev navigation buttons in the Lightbox correctly move to the next/previous image.</t>
  </si>
  <si>
    <t xml:space="preserve">1. Open the Lightbox from any image
2. Click Next twice, note the displayed image
3. Click Prev once, note the displayed image</t>
  </si>
  <si>
    <t xml:space="preserve">The image changes in the correct order within the collection for each Next/Prev click, with no repeats or jumps to the wrong position.</t>
  </si>
  <si>
    <t xml:space="preserve">TC_GAL_04</t>
  </si>
  <si>
    <t xml:space="preserve">Navigating images in the Lightbox with the keyboard arrow keys</t>
  </si>
  <si>
    <t xml:space="preserve">Check the ability to use the left/right arrow keys on the keyboard to change images in the Lightbox.</t>
  </si>
  <si>
    <t xml:space="preserve">1. Open the Lightbox from any image
2. Press the right arrow key twice
3. Press the left arrow key once</t>
  </si>
  <si>
    <t xml:space="preserve">The image changes correctly with the arrow keys, behaving identically to using the mouse Next/Prev buttons.</t>
  </si>
  <si>
    <t xml:space="preserve">TC_GAL_05</t>
  </si>
  <si>
    <t xml:space="preserve">Closing the Lightbox with the Close button and the Esc key</t>
  </si>
  <si>
    <t xml:space="preserve">Check that the Lightbox closes correctly when clicking the Close (X) button or pressing Esc.</t>
  </si>
  <si>
    <t xml:space="preserve">1. Open the Lightbox from any image
2. Click the Close (X) button
3. Reopen the Lightbox, then press Esc</t>
  </si>
  <si>
    <t xml:space="preserve">Both methods successfully close the Lightbox, returning to the correct position in the gallery being viewed, with no dark overlay remaining.</t>
  </si>
  <si>
    <t xml:space="preserve">TC_GAL_06</t>
  </si>
  <si>
    <t xml:space="preserve">Carousel auto-advances images and pauses on hover</t>
  </si>
  <si>
    <t xml:space="preserve">Check that the carousel-style image gallery auto-advances over time and pauses when the user hovers the mouse over it (if this feature is implemented).</t>
  </si>
  <si>
    <t xml:space="preserve">1. Open the carousel-style Gallery area (if present)
2. Observe the image auto-advancing over time
3. Hover the mouse over the carousel and hold, observe whether it stops</t>
  </si>
  <si>
    <t xml:space="preserve">The carousel auto-advances images on a cycle when there is no interaction; it pauses advancing while the cursor hovers over the carousel.</t>
  </si>
  <si>
    <t xml:space="preserve">Only applies if the Gallery has an auto-advancing carousel mode.</t>
  </si>
  <si>
    <t xml:space="preserve">TC_GAL_07</t>
  </si>
  <si>
    <t xml:space="preserve">Zooming an image in the Lightbox</t>
  </si>
  <si>
    <t xml:space="preserve">Check the ability to zoom in on an image in the Lightbox using mouse actions (desktop) or a pinch gesture (mobile).</t>
  </si>
  <si>
    <t xml:space="preserve">1. Open the Lightbox for an image on desktop, use mouse scroll to zoom (if supported)
2. On mobile, open the Lightbox and perform a pinch-to-zoom gesture</t>
  </si>
  <si>
    <t xml:space="preserve">The image zooms in/out smoothly with the gesture, without excessive blurring beyond an acceptable level, and can zoom back out to its original size.</t>
  </si>
  <si>
    <t xml:space="preserve">TC_GAL_08</t>
  </si>
  <si>
    <t xml:space="preserve">The Lightbox correctly shows the image's caption</t>
  </si>
  <si>
    <t xml:space="preserve">Check that each image's caption displays correctly in the Lightbox if the JSON data has a caption field.</t>
  </si>
  <si>
    <t xml:space="preserve">1. Open the Lightbox for an image that has a caption field in the data
2. Observe the caption display area below/beside the image</t>
  </si>
  <si>
    <t xml:space="preserve">An image with a caption field in contents.json</t>
  </si>
  <si>
    <t xml:space="preserve">The caption displays the exact text declared in the data, with no abnormal text truncation.</t>
  </si>
  <si>
    <t xml:space="preserve">TC_GAL_09</t>
  </si>
  <si>
    <t xml:space="preserve">Handling a broken image path in the JSON data</t>
  </si>
  <si>
    <t xml:space="preserve">Check that the UI shows a reasonable placeholder image when an image path in the JSON data is invalid/nonexistent.</t>
  </si>
  <si>
    <t xml:space="preserve">1. Prepare a test Gallery record with an invalid image path (Staging environment)
2. Go to the Gallery containing that record
3. Observe the thumbnail and the Lightbox when opened</t>
  </si>
  <si>
    <t xml:space="preserve">A gallery record with an invalid image path</t>
  </si>
  <si>
    <t xml:space="preserve">A default placeholder image displays in place of the broken image, both as a thumbnail and in the Lightbox, with no browser broken-image icon and no broken layout.</t>
  </si>
  <si>
    <t xml:space="preserve">TC_GAL_10</t>
  </si>
  <si>
    <t xml:space="preserve">The image gallery and Lightbox work smoothly on mobile devices</t>
  </si>
  <si>
    <t xml:space="preserve">Check that the swipe gesture for changing images in the Lightbox works correctly on a mobile device.</t>
  </si>
  <si>
    <t xml:space="preserve">Mobile: Android 14 (Samsung/Pixel) &amp; iOS 17 - Safari/Chrome Mobile
URL: https://fandomverse.example.com/#anime/gallery</t>
  </si>
  <si>
    <t xml:space="preserve">1. Open a mobile browser, go to a Category Hub's Gallery
2. Tap an image to open the Lightbox
3. Swipe left/right to change images</t>
  </si>
  <si>
    <t xml:space="preserve">The Lightbox opens at the correct size for the mobile screen; swiping to change images is smooth and in the correct direction (swipe left for next, swipe right for previous).</t>
  </si>
  <si>
    <t xml:space="preserve">E. VIDEO &amp; AUDIO  (12 test cases)</t>
  </si>
  <si>
    <t xml:space="preserve">TC_MEDIA_01</t>
  </si>
  <si>
    <t xml:space="preserve">The embedded trailer video plays correctly when Play is pressed</t>
  </si>
  <si>
    <t xml:space="preserve">Check that the trailer video embedded from YouTube plays the correct content when the user presses the Play button.</t>
  </si>
  <si>
    <t xml:space="preserve">Web: Chrome 125+, Firefox 126+, Safari 17+ / Windows 11 &amp; macOS
URL: https://fandomverse.example.com/#movies/media</t>
  </si>
  <si>
    <t xml:space="preserve">1. Go to a page with an embedded trailer video
2. Press the Play button on the video frame
3. Observe the video starting to play</t>
  </si>
  <si>
    <t xml:space="preserve">Any embedded trailer video</t>
  </si>
  <si>
    <t xml:space="preserve">The video starts playing the correct content within a few seconds, with sound (unless muted by default until actively enabled by the user).</t>
  </si>
  <si>
    <t xml:space="preserve">TC_MEDIA_02</t>
  </si>
  <si>
    <t xml:space="preserve">Basic video controls work correctly</t>
  </si>
  <si>
    <t xml:space="preserve">Check the basic video player controls: Play/Pause, Volume, Fullscreen, Progress bar.</t>
  </si>
  <si>
    <t xml:space="preserve">1. Play any video
2. Press Pause, then Play again
3. Adjust the volume bar
4. Press the Fullscreen button
5. Drag the progress bar to a different time point</t>
  </si>
  <si>
    <t xml:space="preserve">Any trailer video</t>
  </si>
  <si>
    <t xml:space="preserve">All controls work correctly: Pause stops the video, Play resumes it, volume changes accordingly, Fullscreen expands to full screen, and seeking moves to the correct time point dragged to.</t>
  </si>
  <si>
    <t xml:space="preserve">TC_MEDIA_03</t>
  </si>
  <si>
    <t xml:space="preserve">Only one video plays at a time when multiple videos are on the page</t>
  </si>
  <si>
    <t xml:space="preserve">Check that when video A is played while video B is playing, video B automatically stops.</t>
  </si>
  <si>
    <t xml:space="preserve">1. Go to a page with 2 or more embedded videos
2. Press Play on the first video (A), let it play for a few seconds
3. Press Play on the second video (B)
4. Observe the state of video A</t>
  </si>
  <si>
    <t xml:space="preserve">A page with 2 or more embedded videos</t>
  </si>
  <si>
    <t xml:space="preserve">As soon as video B starts playing, video A automatically pauses; only one video plays audio at any given time.</t>
  </si>
  <si>
    <t xml:space="preserve">TC_MEDIA_04</t>
  </si>
  <si>
    <t xml:space="preserve">Audio clip plays correctly with the audio player controls</t>
  </si>
  <si>
    <t xml:space="preserve">Check that an audio clip (interview/podcast) plays correctly and can be controlled via the audio player.</t>
  </si>
  <si>
    <t xml:space="preserve">1. Go to a page/area with an audio clip
2. Press Play on the audio player
3. Check Pause and seeking forward/backward via the progress bar</t>
  </si>
  <si>
    <t xml:space="preserve">Any audio clip</t>
  </si>
  <si>
    <t xml:space="preserve">The audio plays the correct content; Play/Pause/seek controls work correctly; elapsed/total duration displays correctly.</t>
  </si>
  <si>
    <t xml:space="preserve">TC_MEDIA_05</t>
  </si>
  <si>
    <t xml:space="preserve">Handling a broken video/audio link in the JSON data</t>
  </si>
  <si>
    <t xml:space="preserve">Check that the UI shows a clear error message and does not crash when a media link in the JSON data is invalid.</t>
  </si>
  <si>
    <t xml:space="preserve">1. Prepare a test record with an invalid video/audio link (Staging environment)
2. Go to the page containing that record
3. Press Play (if the player frame still displays)</t>
  </si>
  <si>
    <t xml:space="preserve">A media record with an invalid link</t>
  </si>
  <si>
    <t xml:space="preserve">Shows a reasonable error message (e.g. "Unable to play this content") instead of an empty player frame or a serious console error; the layout is not broken.</t>
  </si>
  <si>
    <t xml:space="preserve">TC_MEDIA_06</t>
  </si>
  <si>
    <t xml:space="preserve">Video/audio automatically stops when navigating away from the page</t>
  </si>
  <si>
    <t xml:space="preserve">Check that playing video/audio automatically stops when the user navigates to another page, avoiding background playback.</t>
  </si>
  <si>
    <t xml:space="preserve">1. Play a video on the detail page
2. While it's playing, click to navigate to another page (e.g. back to home)
3. Listen for any remaining sound</t>
  </si>
  <si>
    <t xml:space="preserve">A video currently playing</t>
  </si>
  <si>
    <t xml:space="preserve">The audio/video stops completely as soon as the user leaves the page, with no background playback on the new page.</t>
  </si>
  <si>
    <t xml:space="preserve">TC_MEDIA_07</t>
  </si>
  <si>
    <t xml:space="preserve">Toggling video captions on/off works correctly</t>
  </si>
  <si>
    <t xml:space="preserve">Check that the caption toggle option for a video works correctly if the video supports it.</t>
  </si>
  <si>
    <t xml:space="preserve">1. Play a video that supports captions
2. Turn on captions via the CC icon on the player
3. Turn captions off again</t>
  </si>
  <si>
    <t xml:space="preserve">A video with captions</t>
  </si>
  <si>
    <t xml:space="preserve">Captions display correctly when enabled and disappear when disabled, correctly synced with the audio content.</t>
  </si>
  <si>
    <t xml:space="preserve">Only applies to videos that support captions.</t>
  </si>
  <si>
    <t xml:space="preserve">TC_MEDIA_08</t>
  </si>
  <si>
    <t xml:space="preserve">Video playback quality under a slow network</t>
  </si>
  <si>
    <t xml:space="preserve">Check that the video shows a reasonable buffering state when the network is simulated as slow, with no UI freeze.</t>
  </si>
  <si>
    <t xml:space="preserve">1. Enable DevTools &gt; Network &gt; "Slow 3G" throttling
2. Play any video
3. Observe the buffering state</t>
  </si>
  <si>
    <t xml:space="preserve">Network condition: Slow 3G</t>
  </si>
  <si>
    <t xml:space="preserve">A clear buffering/loading indicator displays while waiting for video data; the overall UI does not freeze/hang.</t>
  </si>
  <si>
    <t xml:space="preserve">TC_MEDIA_09</t>
  </si>
  <si>
    <t xml:space="preserve">The video frame is responsive and keeps the correct aspect ratio</t>
  </si>
  <si>
    <t xml:space="preserve">Check that the embedded video frame keeps the correct 16:9 aspect ratio across different screen sizes.</t>
  </si>
  <si>
    <t xml:space="preserve">1. Go to a page with a video on desktop (1920px)
2. Gradually shrink the viewport down to tablet (768px) then mobile (375px)
3. Observe the video frame's aspect ratio at each size</t>
  </si>
  <si>
    <t xml:space="preserve">Viewport: 1920px, 768px, 375px</t>
  </si>
  <si>
    <t xml:space="preserve">The video frame always keeps the correct 16:9 ratio at every screen size, with no distortion or cropped content.</t>
  </si>
  <si>
    <t xml:space="preserve">TC_MEDIA_10</t>
  </si>
  <si>
    <t xml:space="preserve">Video/audio works correctly on mobile devices, including landscape fullscreen</t>
  </si>
  <si>
    <t xml:space="preserve">Check that video plays correctly on a mobile device and switches to a reasonable fullscreen mode when the device is rotated to landscape.</t>
  </si>
  <si>
    <t xml:space="preserve">Mobile: Android 14 (Samsung/Pixel) &amp; iOS 17 - Safari/Chrome Mobile
URL: https://fandomverse.example.com/#movies/media</t>
  </si>
  <si>
    <t xml:space="preserve">1. Open a mobile browser, play a video
2. Press Fullscreen
3. Rotate the device to landscape mode</t>
  </si>
  <si>
    <t xml:space="preserve">Any video, mobile device</t>
  </si>
  <si>
    <t xml:space="preserve">The video enters fullscreen correctly, automatically rotating to landscape orientation; video controls remain operable normally.</t>
  </si>
  <si>
    <t xml:space="preserve">TC_MEDIA_11</t>
  </si>
  <si>
    <t xml:space="preserve">Video controls can be operated entirely with the keyboard</t>
  </si>
  <si>
    <t xml:space="preserve">Check that users can Play/Pause and seek a video using only the keyboard (Accessibility).</t>
  </si>
  <si>
    <t xml:space="preserve">1. Focus the video frame with the Tab key
2. Press Space to Play/Pause
3. Use the left/right arrow keys to seek backward/forward</t>
  </si>
  <si>
    <t xml:space="preserve">Any video</t>
  </si>
  <si>
    <t xml:space="preserve">Space correctly toggles video playback; the arrow keys seek the video by a reasonable time step; a clear focus outline appears around the player when focused.</t>
  </si>
  <si>
    <t xml:space="preserve">TC_MEDIA_12</t>
  </si>
  <si>
    <t xml:space="preserve">Video does not autoplay with sound when the page loads</t>
  </si>
  <si>
    <t xml:space="preserve">Check that a video does not autoplay with sound as soon as the page loads, complying with browser policy and good user experience.</t>
  </si>
  <si>
    <t xml:space="preserve">1. Go to a page with an embedded video
2. Without interacting, observe and listen during the first 5 seconds</t>
  </si>
  <si>
    <t xml:space="preserve">A page with an embedded video</t>
  </si>
  <si>
    <t xml:space="preserve">The video does not autoplay with sound as soon as the page finishes loading; if autoplay occurs, the video must be muted by default.</t>
  </si>
  <si>
    <t xml:space="preserve">F. FEATURED ARTICLES  (10 test cases)</t>
  </si>
  <si>
    <t xml:space="preserve">TC_ART_01</t>
  </si>
  <si>
    <t xml:space="preserve">The article list correctly shows title, image, and short description</t>
  </si>
  <si>
    <t xml:space="preserve">Check that the article list in the Category Hub correctly shows the summary fields: title, thumbnail image, short description.</t>
  </si>
  <si>
    <t xml:space="preserve">Web: Chrome 125+, Firefox 126+, Safari 17+ / Windows 11 &amp; macOS
URL: https://fandomverse.example.com/#tvshows/articles</t>
  </si>
  <si>
    <t xml:space="preserve">1. Go to the "TV Shows" Category Hub
2. Filter by content type "Article"
3. Observe the displayed article cards</t>
  </si>
  <si>
    <t xml:space="preserve">Category: TV Shows; type: Article</t>
  </si>
  <si>
    <t xml:space="preserve">Every article card shows the title, thumbnail image, and a short description without abnormal text truncation.</t>
  </si>
  <si>
    <t xml:space="preserve">TC_ART_02</t>
  </si>
  <si>
    <t xml:space="preserve">Clicking an article correctly opens the full detail page</t>
  </si>
  <si>
    <t xml:space="preserve">Check that clicking an article correctly opens the detail view with the full article content.</t>
  </si>
  <si>
    <t xml:space="preserve">1. From the article list, click any article
2. Observe the detail page that opens</t>
  </si>
  <si>
    <t xml:space="preserve">Any article</t>
  </si>
  <si>
    <t xml:space="preserve">The detail page fully displays the title, image, and complete content of the selected article, with nothing missing compared to the source data.</t>
  </si>
  <si>
    <t xml:space="preserve">TC_ART_03</t>
  </si>
  <si>
    <t xml:space="preserve">Long-form content formatting displays correctly</t>
  </si>
  <si>
    <t xml:space="preserve">Check that an article with long content, headings, paragraphs, and inline images displays with correct formatting.</t>
  </si>
  <si>
    <t xml:space="preserve">1. Open an article with long content, several headings, and inline images
2. Scroll through and read the entire article</t>
  </si>
  <si>
    <t xml:space="preserve">A long article with headings and inline images</t>
  </si>
  <si>
    <t xml:space="preserve">Headings display at the correct level (font/size distinct from regular paragraphs); inline images display in the correct position, with no broken layout or overflow.</t>
  </si>
  <si>
    <t xml:space="preserve">TC_ART_04</t>
  </si>
  <si>
    <t xml:space="preserve">The "Related Content" section shows correct suggestions</t>
  </si>
  <si>
    <t xml:space="preserve">Check that the "Related Content" section at the bottom of an article detail page shows suggestions correctly related to the article's category/tags.</t>
  </si>
  <si>
    <t xml:space="preserve">1. Open any article
2. Scroll to the bottom of the page, observe the Related Content section</t>
  </si>
  <si>
    <t xml:space="preserve">Any article with a defined tag/category</t>
  </si>
  <si>
    <t xml:space="preserve">The suggestion list shows content from the same category or with the same tags as the article being viewed, with no unrelated content shown.</t>
  </si>
  <si>
    <t xml:space="preserve">TC_ART_05</t>
  </si>
  <si>
    <t xml:space="preserve">Clicking a related suggestion navigates correctly to the matching article</t>
  </si>
  <si>
    <t xml:space="preserve">Check that clicking a suggestion in the Related Content section navigates correctly to the matching article/content.</t>
  </si>
  <si>
    <t xml:space="preserve">1. On an article detail page, click any suggestion in the Related Content section
2. Observe the page navigated to</t>
  </si>
  <si>
    <t xml:space="preserve">Any suggestion in the related content area</t>
  </si>
  <si>
    <t xml:space="preserve">Navigates correctly to the detail page of the content selected in the suggestions.</t>
  </si>
  <si>
    <t xml:space="preserve">TC_ART_06</t>
  </si>
  <si>
    <t xml:space="preserve">Breadcrumb on the article detail page displays correctly</t>
  </si>
  <si>
    <t xml:space="preserve">Check that the breadcrumb on an article detail page shows the correct path from Home to the current article.</t>
  </si>
  <si>
    <t xml:space="preserve">1. Open any article in the "Manga" category
2. Observe the breadcrumb at the top of the page</t>
  </si>
  <si>
    <t xml:space="preserve">An article in the Manga category</t>
  </si>
  <si>
    <t xml:space="preserve">The breadcrumb displays as "Home &gt; Manga &gt; [Article Name]", with the earlier links navigating correctly.</t>
  </si>
  <si>
    <t xml:space="preserve">TC_ART_07</t>
  </si>
  <si>
    <t xml:space="preserve">Visiting a URL for a nonexistent article shows a reasonable error page</t>
  </si>
  <si>
    <t xml:space="preserve">Check the UI behavior when a user directly visits an article URL with an ID that does not exist in the data.</t>
  </si>
  <si>
    <t xml:space="preserve">1. Type an article URL with a nonexistent ID directly into the address bar
2. Observe the displayed page</t>
  </si>
  <si>
    <t xml:space="preserve">URL: /#article/id-khong-ton-tai-999</t>
  </si>
  <si>
    <t xml:space="preserve">Shows a friendly "Content not found" (404-style) page with a link back to the homepage/categories, with no technical error or blank page.</t>
  </si>
  <si>
    <t xml:space="preserve">TC_ART_08</t>
  </si>
  <si>
    <t xml:space="preserve">Reading time/post date display in the correct format</t>
  </si>
  <si>
    <t xml:space="preserve">Check that the estimated reading time and/or the article's post date (if present in the data) display in the correct format.</t>
  </si>
  <si>
    <t xml:space="preserve">1. Open an article that has a post-date field in the data
2. Observe the date format displayed on the detail page</t>
  </si>
  <si>
    <t xml:space="preserve">An article with a publishDate field</t>
  </si>
  <si>
    <t xml:space="preserve">The post date displays in a consistent format (dd/mm/yyyy) across every article checked.</t>
  </si>
  <si>
    <t xml:space="preserve">TC_ART_09</t>
  </si>
  <si>
    <t xml:space="preserve">Article content displays safely against HTML/script characters in the data</t>
  </si>
  <si>
    <t xml:space="preserve">Check that article content containing HTML/script characters in the JSON is correctly escaped and not executed.</t>
  </si>
  <si>
    <t xml:space="preserve">1. Prepare a test article record containing a script snippet in its content (Staging environment)
2. Open that article's detail page
3. Observe whether any unexpected popup/alert appears</t>
  </si>
  <si>
    <t xml:space="preserve">A test article with content: &lt;script&gt;alert('test')&lt;/script&gt;</t>
  </si>
  <si>
    <t xml:space="preserve">The code displays as plain text on the page, with no unexpected popup/alert appearing.</t>
  </si>
  <si>
    <t xml:space="preserve">TC_ART_10</t>
  </si>
  <si>
    <t xml:space="preserve">The article detail page is responsive correctly on mobile</t>
  </si>
  <si>
    <t xml:space="preserve">Check that the article detail page displays correctly, with images not overflowing the frame, when viewed on a mobile device.</t>
  </si>
  <si>
    <t xml:space="preserve">Mobile: Android 14 (Samsung/Pixel) &amp; iOS 17 - Safari/Chrome Mobile
URL: https://fandomverse.example.com/#tvshows/articles</t>
  </si>
  <si>
    <t xml:space="preserve">1. Open a mobile browser, go to any article
2. Scroll through and read the entire article content</t>
  </si>
  <si>
    <t xml:space="preserve">Any article, viewport 375px</t>
  </si>
  <si>
    <t xml:space="preserve">Text and images fit within the screen frame, with no horizontal overflow, readable font size, and no need to manually zoom.</t>
  </si>
  <si>
    <t xml:space="preserve">G. CHARACTER PROFILES  (14 test cases)</t>
  </si>
  <si>
    <t xml:space="preserve">TC_CHAR_01</t>
  </si>
  <si>
    <t xml:space="preserve">The character profile list shows at least 5 characters as required by the SRS</t>
  </si>
  <si>
    <t xml:space="preserve">Check that the Category Hub shows at least 5 character profiles for the viewed category, per SRS section 1.6.7.</t>
  </si>
  <si>
    <t xml:space="preserve">Web: Chrome 125+, Firefox 126+, Safari 17+ / Windows 11 &amp; macOS
URL: https://fandomverse.example.com/#anime/characters</t>
  </si>
  <si>
    <t xml:space="preserve">1. Go to the "Anime" Category Hub
2. Select the "Character" tab/filter
3. Count the number of character profiles displayed</t>
  </si>
  <si>
    <t xml:space="preserve">The list shows at least 5 distinct character profiles, with no duplicate profiles.</t>
  </si>
  <si>
    <t xml:space="preserve">TC_CHAR_02</t>
  </si>
  <si>
    <t xml:space="preserve">Character cards display all required fields</t>
  </si>
  <si>
    <t xml:space="preserve">Check that every character profile card shows: Name, Image, Franchise/Series, Biography summary, Traits.</t>
  </si>
  <si>
    <t xml:space="preserve">1. Go to the character list of any category
2. Select 3 random cards, check each field</t>
  </si>
  <si>
    <t xml:space="preserve">3 random character cards</t>
  </si>
  <si>
    <t xml:space="preserve">Every card shows all 5 fields: Name, Image, Franchise/Series, Biography summary, Traits; no field is missing.</t>
  </si>
  <si>
    <t xml:space="preserve">TC_CHAR_03</t>
  </si>
  <si>
    <t xml:space="preserve">Clicking a character correctly opens the full detail page/modal</t>
  </si>
  <si>
    <t xml:space="preserve">Check that clicking a character correctly opens the detail page or modal with the complete profile information.</t>
  </si>
  <si>
    <t xml:space="preserve">1. Click any character card
2. Observe the detail page/modal that opens</t>
  </si>
  <si>
    <t xml:space="preserve">Any character</t>
  </si>
  <si>
    <t xml:space="preserve">The detail page/modal fully shows: Name, larger Image, Franchise/Series, full (unabridged) Biography, list of Traits.</t>
  </si>
  <si>
    <t xml:space="preserve">TC_CHAR_04</t>
  </si>
  <si>
    <t xml:space="preserve">Character profile filter by Category</t>
  </si>
  <si>
    <t xml:space="preserve">Check that the category filter correctly filters the displayed character list.</t>
  </si>
  <si>
    <t xml:space="preserve">1. Go to the character overview page (if present) or each Category Hub
2. Select Category = "Gaming"
3. Observe the character list</t>
  </si>
  <si>
    <t xml:space="preserve">Category filter: Gaming</t>
  </si>
  <si>
    <t xml:space="preserve">The list only shows characters belonging to the Gaming category.</t>
  </si>
  <si>
    <t xml:space="preserve">TC_CHAR_05</t>
  </si>
  <si>
    <t xml:space="preserve">Character profile filter by Franchise/Series</t>
  </si>
  <si>
    <t xml:space="preserve">Check that the filter by a specific Franchise/Series correctly filters the related character list.</t>
  </si>
  <si>
    <t xml:space="preserve">1. Go to the character list of a category
2. Select the Franchise Filter = a specific series
3. Observe the results</t>
  </si>
  <si>
    <t xml:space="preserve">Franchise filter: a specific series (e.g. "One Piece")</t>
  </si>
  <si>
    <t xml:space="preserve">The list only shows characters belonging to the selected franchise/series.</t>
  </si>
  <si>
    <t xml:space="preserve">TC_CHAR_06</t>
  </si>
  <si>
    <t xml:space="preserve">Data-driven: at least 5 character profiles for each of the 7 categories</t>
  </si>
  <si>
    <t xml:space="preserve">Check that each of the 7 categories has at least 5 character profiles, per the SRS requirement.</t>
  </si>
  <si>
    <t xml:space="preserve">1. Visit the character list of all 7 categories in turn: Anime, Gaming, Movies, TV Shows, K-Pop, Comics, Manga
2. Count the number of character profiles in each category</t>
  </si>
  <si>
    <t xml:space="preserve">Every category has at least 5 character profiles displaying fully, with no category missing data.</t>
  </si>
  <si>
    <t xml:space="preserve">TC_CHAR_07</t>
  </si>
  <si>
    <t xml:space="preserve">Handling a character missing the Traits or Biography field</t>
  </si>
  <si>
    <t xml:space="preserve">Check that the UI displays reasonably when a character record is missing the Traits or Biography field in the JSON.</t>
  </si>
  <si>
    <t xml:space="preserve">1. Prepare a test character record missing the Traits field (Staging environment)
2. Go to that character's detail page</t>
  </si>
  <si>
    <t xml:space="preserve">A character record missing the Traits field</t>
  </si>
  <si>
    <t xml:space="preserve">The UI hides the Traits area or shows a reasonable "No information available" state, without leaving a blank/broken display.</t>
  </si>
  <si>
    <t xml:space="preserve">TC_CHAR_08</t>
  </si>
  <si>
    <t xml:space="preserve">A character image with a broken path shows a placeholder image</t>
  </si>
  <si>
    <t xml:space="preserve">Check that the UI shows a default placeholder image when a character's image path in the JSON is invalid.</t>
  </si>
  <si>
    <t xml:space="preserve">1. Prepare a test character record with an incorrect image path
2. Go to that character's card and detail page</t>
  </si>
  <si>
    <t xml:space="preserve">A character record with a broken image path</t>
  </si>
  <si>
    <t xml:space="preserve">Shows a default placeholder image both on the list card and the detail page, with no broken-image icon shown.</t>
  </si>
  <si>
    <t xml:space="preserve">TC_CHAR_09</t>
  </si>
  <si>
    <t xml:space="preserve">Bookmarking directly from a character card/detail page</t>
  </si>
  <si>
    <t xml:space="preserve">Check that users can bookmark a character directly from the list card or the detail page.</t>
  </si>
  <si>
    <t xml:space="preserve">1. Click the Bookmark icon on any character card
2. Check whether that character appears on the Bookmarks page
3. Repeat the bookmark action from a different character's detail page</t>
  </si>
  <si>
    <t xml:space="preserve">The character is correctly added to the Bookmark list via both methods; the Bookmark icon changes state (filled) after saving.</t>
  </si>
  <si>
    <t xml:space="preserve">TC_CHAR_10</t>
  </si>
  <si>
    <t xml:space="preserve">Sorting the character list alphabetically A-Z</t>
  </si>
  <si>
    <t xml:space="preserve">Check the sort option for the character list by ascending alphabetical name order.</t>
  </si>
  <si>
    <t xml:space="preserve">1. Go to the character list of a category
2. Select Sort A-Z
3. Observe the order of character names</t>
  </si>
  <si>
    <t xml:space="preserve">Any category</t>
  </si>
  <si>
    <t xml:space="preserve">The list correctly sorts in ascending alphabetical order by Character Name.</t>
  </si>
  <si>
    <t xml:space="preserve">TC_CHAR_11</t>
  </si>
  <si>
    <t xml:space="preserve">Quick search within the character list</t>
  </si>
  <si>
    <t xml:space="preserve">Check that the quick search box (if present) in the hub correctly filters by the character name being typed.</t>
  </si>
  <si>
    <t xml:space="preserve">1. Go to the character list of a category
2. Type part of a character's name into the quick search box (if present)
3. Observe the filtered list</t>
  </si>
  <si>
    <t xml:space="preserve">Keyword: part of a specific character name</t>
  </si>
  <si>
    <t xml:space="preserve">The list only shows characters whose name matches the entered keyword.</t>
  </si>
  <si>
    <t xml:space="preserve">Only applies if the hub has its own character search box.</t>
  </si>
  <si>
    <t xml:space="preserve">TC_CHAR_12</t>
  </si>
  <si>
    <t xml:space="preserve">Breadcrumb on the character detail page is accurate</t>
  </si>
  <si>
    <t xml:space="preserve">Check that the breadcrumb on the character detail page shows the correct path.</t>
  </si>
  <si>
    <t xml:space="preserve">1. Open the detail page of a character in the "Comics" category
2. Observe the breadcrumb at the top of the page</t>
  </si>
  <si>
    <t xml:space="preserve">A character in the Comics category</t>
  </si>
  <si>
    <t xml:space="preserve">The breadcrumb displays as "Home &gt; Comics &gt; [Character Name]", with the links working correctly.</t>
  </si>
  <si>
    <t xml:space="preserve">TC_CHAR_13</t>
  </si>
  <si>
    <t xml:space="preserve">Character profiles correctly display Vietnamese names with diacritics</t>
  </si>
  <si>
    <t xml:space="preserve">Check that character names/biographies containing Vietnamese diacritics or special Unicode characters display accurately.</t>
  </si>
  <si>
    <t xml:space="preserve">1. Prepare a test character record with a Vietnamese name with diacritics (Staging environment)
2. Go to that character's card and detail page</t>
  </si>
  <si>
    <t xml:space="preserve">Character name: "Nguyễn Thị Hương" (test)</t>
  </si>
  <si>
    <t xml:space="preserve">The name displays accurately with diacritics, with no font errors/garbled characters (????) on either the card or the detail page.</t>
  </si>
  <si>
    <t xml:space="preserve">TC_CHAR_14</t>
  </si>
  <si>
    <t xml:space="preserve">The character list and detail page are responsive correctly on mobile</t>
  </si>
  <si>
    <t xml:space="preserve">Check that the character list and detail page display correctly on a mobile device.</t>
  </si>
  <si>
    <t xml:space="preserve">Mobile: Android 14 (Samsung/Pixel) &amp; iOS 17 - Safari/Chrome Mobile
URL: https://fandomverse.example.com/#anime/characters</t>
  </si>
  <si>
    <t xml:space="preserve">1. Open a mobile browser, go to the character list of a category
2. Open a character's detail page</t>
  </si>
  <si>
    <t xml:space="preserve">Any category, viewport 375px</t>
  </si>
  <si>
    <t xml:space="preserve">The character card grid and detail page display neatly with no horizontal overflow; images/content are laid out reasonably on the small screen.</t>
  </si>
  <si>
    <t xml:space="preserve">H. EVENT HIGHLIGHTS  (10 test cases)</t>
  </si>
  <si>
    <t xml:space="preserve">TC_EVT_01</t>
  </si>
  <si>
    <t xml:space="preserve">The event list shows at least 3 events as required by the SRS</t>
  </si>
  <si>
    <t xml:space="preserve">Check that the Category Hub shows at least 3 events (past and upcoming), per SRS section 1.6.8.</t>
  </si>
  <si>
    <t xml:space="preserve">Web: Chrome 125+, Firefox 126+, Safari 17+ / Windows 11 &amp; macOS
URL: https://fandomverse.example.com/#kpop/events</t>
  </si>
  <si>
    <t xml:space="preserve">1. Go to the "K-Pop" Category Hub
2. Select the "Event" tab/filter
3. Count the number of events displayed</t>
  </si>
  <si>
    <t xml:space="preserve">Category: K-Pop</t>
  </si>
  <si>
    <t xml:space="preserve">The list shows at least 3 distinct events.</t>
  </si>
  <si>
    <t xml:space="preserve">TC_EVT_02</t>
  </si>
  <si>
    <t xml:space="preserve">Event cards display all required fields</t>
  </si>
  <si>
    <t xml:space="preserve">Check that every event card shows: Title, Date, Location, Description, Category.</t>
  </si>
  <si>
    <t xml:space="preserve">1. Go to the event list of a category
2. Select 2 random cards, check each field</t>
  </si>
  <si>
    <t xml:space="preserve">2 random event cards</t>
  </si>
  <si>
    <t xml:space="preserve">Every card shows all 5 fields: Title, Date, Location, Description, Category; no field is missing.</t>
  </si>
  <si>
    <t xml:space="preserve">TC_EVT_03</t>
  </si>
  <si>
    <t xml:space="preserve">The Upcoming and Past event filters work correctly</t>
  </si>
  <si>
    <t xml:space="preserve">Check that the event status filter for Upcoming and Past correctly filters the list.</t>
  </si>
  <si>
    <t xml:space="preserve">1. Go to the event list of a category
2. Select Filter "Upcoming", observe the list
3. Select Filter "Past", observe the list again</t>
  </si>
  <si>
    <t xml:space="preserve">Any category; Filter: Upcoming, Past</t>
  </si>
  <si>
    <t xml:space="preserve">The Upcoming filter only shows events dated after today; the Past filter only shows events that occurred before today.</t>
  </si>
  <si>
    <t xml:space="preserve">TC_EVT_04</t>
  </si>
  <si>
    <t xml:space="preserve">Upcoming events are correctly sorted with the nearest date first</t>
  </si>
  <si>
    <t xml:space="preserve">Check that the upcoming events list is sorted with the nearest date first.</t>
  </si>
  <si>
    <t xml:space="preserve">1. Select the "Upcoming" filter in the event list
2. Compare the date order of the displayed events</t>
  </si>
  <si>
    <t xml:space="preserve">Any category; Filter: Upcoming</t>
  </si>
  <si>
    <t xml:space="preserve">The event with the nearest upcoming date is shown at the top of the list, with farther-out events listed after it in ascending order.</t>
  </si>
  <si>
    <t xml:space="preserve">TC_EVT_05</t>
  </si>
  <si>
    <t xml:space="preserve">Past events have a clearly distinguishing label/status</t>
  </si>
  <si>
    <t xml:space="preserve">Check that past events display with a label or style (badge/gray color) that clearly distinguishes them from upcoming events.</t>
  </si>
  <si>
    <t xml:space="preserve">1. Select the "Past" filter, or view a combined list with both types
2. Observe the label/style of past events</t>
  </si>
  <si>
    <t xml:space="preserve">Past events have a clear label (e.g. a "Past" badge or a grayed-out/dimmed style) distinct from upcoming events.</t>
  </si>
  <si>
    <t xml:space="preserve">TC_EVT_06</t>
  </si>
  <si>
    <t xml:space="preserve">Clicking an event correctly opens the detail page/modal</t>
  </si>
  <si>
    <t xml:space="preserve">Check that clicking an event correctly opens the detail page or modal with full information.</t>
  </si>
  <si>
    <t xml:space="preserve">1. Click any event card
2. Observe the detail page/modal that opens</t>
  </si>
  <si>
    <t xml:space="preserve">Any event</t>
  </si>
  <si>
    <t xml:space="preserve">The detail page/modal fully shows Title, Date, Location, full (unabridged) Description, and Category.</t>
  </si>
  <si>
    <t xml:space="preserve">TC_EVT_07</t>
  </si>
  <si>
    <t xml:space="preserve">Data-driven: at least 3 events for each of the 7 categories</t>
  </si>
  <si>
    <t xml:space="preserve">Check that each of the 7 categories has at least 3 events, per the SRS requirement.</t>
  </si>
  <si>
    <t xml:space="preserve">1. Visit the event list of all 7 categories in turn
2. Count the number of events in each category</t>
  </si>
  <si>
    <t xml:space="preserve">Every category has at least 3 events displaying fully.</t>
  </si>
  <si>
    <t xml:space="preserve">TC_EVT_08</t>
  </si>
  <si>
    <t xml:space="preserve">Date format is consistent across all event cards</t>
  </si>
  <si>
    <t xml:space="preserve">Check that the date format displays consistently (dd/mm/yyyy) across all event cards.</t>
  </si>
  <si>
    <t xml:space="preserve">1. Observe the date format on 5 event cards from different categories</t>
  </si>
  <si>
    <t xml:space="preserve">5 event cards from different categories</t>
  </si>
  <si>
    <t xml:space="preserve">All 5 cards display dates in the same dd/mm/yyyy format, with no formatting discrepancy between cards.</t>
  </si>
  <si>
    <t xml:space="preserve">TC_EVT_09</t>
  </si>
  <si>
    <t xml:space="preserve">Handling an event missing the Location field</t>
  </si>
  <si>
    <t xml:space="preserve">Check that the UI displays reasonably when an event record is missing the Location field in the JSON.</t>
  </si>
  <si>
    <t xml:space="preserve">1. Prepare a test event record missing the Location field (Staging environment)
2. Go to that event's card and detail page</t>
  </si>
  <si>
    <t xml:space="preserve">An event record missing the Location field</t>
  </si>
  <si>
    <t xml:space="preserve">The UI shows "Location not yet updated" or reasonably hides the Location field, without leaving a broken blank display.</t>
  </si>
  <si>
    <t xml:space="preserve">TC_EVT_10</t>
  </si>
  <si>
    <t xml:space="preserve">The event list is responsive correctly on tablet/mobile</t>
  </si>
  <si>
    <t xml:space="preserve">Check that the event list displays correctly and is readable on tablet and mobile.</t>
  </si>
  <si>
    <t xml:space="preserve">Mobile: Android 14 (Samsung/Pixel) &amp; iOS 17 - Safari/Chrome Mobile
URL: https://fandomverse.example.com/#kpop/events</t>
  </si>
  <si>
    <t xml:space="preserve">1. Shrink the viewport to 768px, go to the event list
2. Shrink further to 375px, observe again</t>
  </si>
  <si>
    <t xml:space="preserve">Any category; viewport 768px and 375px</t>
  </si>
  <si>
    <t xml:space="preserve">Event cards reasonably rearrange into a vertical column on small screens, with no horizontal overflow, and information remains fully readable.</t>
  </si>
  <si>
    <t xml:space="preserve">I. TRAILER  (12 test cases)</t>
  </si>
  <si>
    <t xml:space="preserve">TC_TRL_01</t>
  </si>
  <si>
    <t xml:space="preserve">The Trailer Hub correctly shows the combined trailer list from all 7 categories</t>
  </si>
  <si>
    <t xml:space="preserve">Check that visiting the Trailer Hub shows the full combined trailer list from all 7 categories.</t>
  </si>
  <si>
    <t xml:space="preserve">Web: Chrome 125+, Firefox 126+, Safari 17+ / Windows 11 &amp; macOS
URL: https://fandomverse.example.com/#trailers</t>
  </si>
  <si>
    <t xml:space="preserve">1. Go to the Trailer Hub from the main menu
2. Observe the displayed trailer list and the source category of each trailer</t>
  </si>
  <si>
    <t xml:space="preserve">The list shows trailers from all 7 categories, with each trailer clearly labeled with its source category.</t>
  </si>
  <si>
    <t xml:space="preserve">TC_TRL_02</t>
  </si>
  <si>
    <t xml:space="preserve">Trailer status filter Upcoming/Recently released</t>
  </si>
  <si>
    <t xml:space="preserve">Check that the "Upcoming" and "Recently released" status filters correctly filter the trailer list.</t>
  </si>
  <si>
    <t xml:space="preserve">1. Go to the Trailer Hub
2. Select Filter "Upcoming", observe the list
3. Select Filter "Recently released", observe again</t>
  </si>
  <si>
    <t xml:space="preserve">Filter: Upcoming, Recently released</t>
  </si>
  <si>
    <t xml:space="preserve">Each filter selection correctly shows the trailer list matching that status, with no other status mixed in.</t>
  </si>
  <si>
    <t xml:space="preserve">TC_TRL_03</t>
  </si>
  <si>
    <t xml:space="preserve">Trailer filter by Category</t>
  </si>
  <si>
    <t xml:space="preserve">Check that the category filter correctly filters the displayed trailer list.</t>
  </si>
  <si>
    <t xml:space="preserve">1. Go to the Trailer Hub
2. Select Category filter = "Movies"
3. Observe the result list</t>
  </si>
  <si>
    <t xml:space="preserve">Category filter: Movies</t>
  </si>
  <si>
    <t xml:space="preserve">The list only shows trailers belonging to the Movies category.</t>
  </si>
  <si>
    <t xml:space="preserve">TC_TRL_04</t>
  </si>
  <si>
    <t xml:space="preserve">Combining the Category filter and trailer status</t>
  </si>
  <si>
    <t xml:space="preserve">Check that applying the Category filter and trailer status together shows results matching both conditions.</t>
  </si>
  <si>
    <t xml:space="preserve">1. Go to the Trailer Hub
2. Select Category = "Anime" and Status = "Upcoming"
3. Observe the results</t>
  </si>
  <si>
    <t xml:space="preserve">Category: Anime; Status: Upcoming</t>
  </si>
  <si>
    <t xml:space="preserve">The list only shows Anime trailers with Upcoming status.</t>
  </si>
  <si>
    <t xml:space="preserve">TC_TRL_05</t>
  </si>
  <si>
    <t xml:space="preserve">Clicking a trailer plays the correct video and shows related information</t>
  </si>
  <si>
    <t xml:space="preserve">Check that clicking a trailer plays the correct video and shows the related movie/anime/game name.</t>
  </si>
  <si>
    <t xml:space="preserve">1. Click any trailer in the list
2. Observe the video playing and the accompanying displayed information</t>
  </si>
  <si>
    <t xml:space="preserve">Any trailer</t>
  </si>
  <si>
    <t xml:space="preserve">The trailer video plays the correct selected content, along with the accurate related movie/anime/game name and category.</t>
  </si>
  <si>
    <t xml:space="preserve">TC_TRL_06</t>
  </si>
  <si>
    <t xml:space="preserve">Trailer thumbnails have a clear Play icon to distinguish them from regular images</t>
  </si>
  <si>
    <t xml:space="preserve">Check that trailer thumbnails have a prominent Play icon to distinguish them from regular images in the Gallery.</t>
  </si>
  <si>
    <t xml:space="preserve">1. Go to the Trailer Hub
2. Observe the thumbnails of the trailers</t>
  </si>
  <si>
    <t xml:space="preserve">The trailer list in the Trailer Hub</t>
  </si>
  <si>
    <t xml:space="preserve">Every trailer thumbnail clearly shows a Play icon (triangle shape) in the center or corner of the image.</t>
  </si>
  <si>
    <t xml:space="preserve">TC_TRL_07</t>
  </si>
  <si>
    <t xml:space="preserve">Trailers are sorted by release date, newest first</t>
  </si>
  <si>
    <t xml:space="preserve">Check that the trailer list is sorted by release date by default, with the newest first.</t>
  </si>
  <si>
    <t xml:space="preserve">1. Go to the Trailer Hub without applying any filter
2. Compare the release dates of the first 3 trailers</t>
  </si>
  <si>
    <t xml:space="preserve">The first 3 trailers have the most recent release dates, in descending order over time.</t>
  </si>
  <si>
    <t xml:space="preserve">TC_TRL_08</t>
  </si>
  <si>
    <t xml:space="preserve">Empty state when the trailer filter has no results</t>
  </si>
  <si>
    <t xml:space="preserve">Check that the UI shows a reasonable message when the trailer filter matches no results.</t>
  </si>
  <si>
    <t xml:space="preserve">1. Go to the Trailer Hub
2. Select a combination of Category + status with no matching data
3. Observe the results area</t>
  </si>
  <si>
    <t xml:space="preserve">A filter combination with no matching data</t>
  </si>
  <si>
    <t xml:space="preserve">A clear "No matching trailers" message is shown, with no blank box.</t>
  </si>
  <si>
    <t xml:space="preserve">TC_TRL_09</t>
  </si>
  <si>
    <t xml:space="preserve">Handling an invalid trailer video link in the JSON</t>
  </si>
  <si>
    <t xml:space="preserve">Check that the UI shows a reasonable error message when a video link in trailers.json is invalid.</t>
  </si>
  <si>
    <t xml:space="preserve">1. Prepare a test trailer record with an invalid video link (Staging environment)
2. Click that trailer</t>
  </si>
  <si>
    <t xml:space="preserve">A trailer record with an invalid link</t>
  </si>
  <si>
    <t xml:space="preserve">Shows a "Unable to play this trailer" message instead of a blank player frame or a serious console error.</t>
  </si>
  <si>
    <t xml:space="preserve">TC_TRL_10</t>
  </si>
  <si>
    <t xml:space="preserve">The Trailer Hub loads quickly and shows a loading state with large data</t>
  </si>
  <si>
    <t xml:space="preserve">Check that the Trailer Hub shows a reasonable loading state and loads stably when there are many trailers.</t>
  </si>
  <si>
    <t xml:space="preserve">1. Enable DevTools Throttling "Slow 3G"
2. Go to the Trailer Hub
3. Observe the loading state while loading</t>
  </si>
  <si>
    <t xml:space="preserve">A skeleton/spinner displays while loading; the full list displays once loading finishes, with no UI freeze.</t>
  </si>
  <si>
    <t xml:space="preserve">TC_TRL_11</t>
  </si>
  <si>
    <t xml:space="preserve">The Trailer Hub is responsive correctly on mobile devices</t>
  </si>
  <si>
    <t xml:space="preserve">Check that the Trailer Hub displays a suitable grid/list layout on a mobile screen.</t>
  </si>
  <si>
    <t xml:space="preserve">Mobile: Android 14 (Samsung/Pixel) &amp; iOS 17 - Safari/Chrome Mobile
URL: https://fandomverse.example.com/#trailers</t>
  </si>
  <si>
    <t xml:space="preserve">1. Open a mobile browser, go to the Trailer Hub
2. Observe the trailer list layout</t>
  </si>
  <si>
    <t xml:space="preserve">Viewport 375px</t>
  </si>
  <si>
    <t xml:space="preserve">The trailer list displays in a vertical column suited to the small screen, with no horizontal overflow and clear thumbnails.</t>
  </si>
  <si>
    <t xml:space="preserve">TC_TRL_12</t>
  </si>
  <si>
    <t xml:space="preserve">Share/copy trailer link functionality</t>
  </si>
  <si>
    <t xml:space="preserve">Check that the Share button (if present) correctly copies the trailer link to the clipboard.</t>
  </si>
  <si>
    <t xml:space="preserve">1. Open any trailer
2. Press the Share/Copy link button
3. Paste (Ctrl+V) the clipboard content elsewhere to verify</t>
  </si>
  <si>
    <t xml:space="preserve">The link is copied accurately to the clipboard, with a "Link copied" confirmation message shown on the UI.</t>
  </si>
  <si>
    <t xml:space="preserve">Only applies if the Share feature is implemented.</t>
  </si>
  <si>
    <t xml:space="preserve">J. MERCHANDISE &amp; CART  (22 test cases)</t>
  </si>
  <si>
    <t xml:space="preserve">TC_MERCH_01</t>
  </si>
  <si>
    <t xml:space="preserve">The Merchandise page correctly shows the product list as cards</t>
  </si>
  <si>
    <t xml:space="preserve">Check that the Merchandise page fully displays the product list as cards according to merchandise.json data.</t>
  </si>
  <si>
    <t xml:space="preserve">Web: Chrome 125+, Firefox 126+, Safari 17+ / Windows 11 &amp; macOS
URL: https://fandomverse.example.com/#merchandise</t>
  </si>
  <si>
    <t xml:space="preserve">1. Go to the Merchandise page
2. Observe the displayed product list</t>
  </si>
  <si>
    <t xml:space="preserve">The product list displays fully as a card grid, matching the merchandise.json source data.</t>
  </si>
  <si>
    <t xml:space="preserve">Happy path - runs first in the Merchandise group.</t>
  </si>
  <si>
    <t xml:space="preserve">TC_MERCH_02</t>
  </si>
  <si>
    <t xml:space="preserve">Product cards display all required fields</t>
  </si>
  <si>
    <t xml:space="preserve">Check that every product card shows Image, Name, Price/Price range, Short description.</t>
  </si>
  <si>
    <t xml:space="preserve">1. Select 3 random product cards
2. Check each displayed field</t>
  </si>
  <si>
    <t xml:space="preserve">3 random product cards</t>
  </si>
  <si>
    <t xml:space="preserve">Every card shows all 4 fields: Image, Name, Price/Price range, Short description, with no field missing.</t>
  </si>
  <si>
    <t xml:space="preserve">TC_MERCH_03</t>
  </si>
  <si>
    <t xml:space="preserve">The Add to Cart button adds the correct product</t>
  </si>
  <si>
    <t xml:space="preserve">Check that the Add to Cart button correctly adds the selected product to the Cart.</t>
  </si>
  <si>
    <t xml:space="preserve">1. Select any product
2. Press the "Add to Cart" button
3. Open the cart, check the added product</t>
  </si>
  <si>
    <t xml:space="preserve">Any product</t>
  </si>
  <si>
    <t xml:space="preserve">The product correctly appears in the cart with a quantity of 1, and its info (name, price, image) matches the selected product.</t>
  </si>
  <si>
    <t xml:space="preserve">TC_MERCH_04</t>
  </si>
  <si>
    <t xml:space="preserve">The cart icon correctly updates the count right after adding</t>
  </si>
  <si>
    <t xml:space="preserve">Check that the quantity badge on the cart icon updates immediately after a product is added.</t>
  </si>
  <si>
    <t xml:space="preserve">1. Note the current count on the cart badge
2. Add a product to the cart
3. Observe the badge right after adding</t>
  </si>
  <si>
    <t xml:space="preserve">The count badge increases by exactly 1 immediately, without needing to reload the page.</t>
  </si>
  <si>
    <t xml:space="preserve">TC_MERCH_05</t>
  </si>
  <si>
    <t xml:space="preserve">Opening the cart correctly shows the list of added products</t>
  </si>
  <si>
    <t xml:space="preserve">Check that when the Cart modal/page is opened, the list of previously added products displays fully and accurately.</t>
  </si>
  <si>
    <t xml:space="preserve">1. Add 3 different products to the cart
2. Open the cart
3. Compare the displayed list against the 3 added products</t>
  </si>
  <si>
    <t xml:space="preserve">3 different products</t>
  </si>
  <si>
    <t xml:space="preserve">The cart fully and correctly shows all 3 added products, with no missing/extra/incorrect information.</t>
  </si>
  <si>
    <t xml:space="preserve">TC_MERCH_06</t>
  </si>
  <si>
    <t xml:space="preserve">Increasing/decreasing product quantity in the cart</t>
  </si>
  <si>
    <t xml:space="preserve">Check that the increase/decrease (+/-) quantity buttons work correctly for each product in the cart.</t>
  </si>
  <si>
    <t xml:space="preserve">1. Open the cart with 1 product already in it
2. Press the + button twice
3. Press the - button once</t>
  </si>
  <si>
    <t xml:space="preserve">1 product in the cart, initial quantity = 1</t>
  </si>
  <si>
    <t xml:space="preserve">The product quantity updates correctly with each action: 1 -&gt; 2 -&gt; 3 -&gt; 2.</t>
  </si>
  <si>
    <t xml:space="preserve">TC_MERCH_07</t>
  </si>
  <si>
    <t xml:space="preserve">The total price automatically recalculates accurately when quantity changes</t>
  </si>
  <si>
    <t xml:space="preserve">Check that the cart Total automatically updates accurately as product quantity changes.</t>
  </si>
  <si>
    <t xml:space="preserve">1. Add a fixed-price product to the cart
2. Increase the quantity to 3
3. Check the displayed Total value</t>
  </si>
  <si>
    <t xml:space="preserve">1 fixed-price product, quantity = 3</t>
  </si>
  <si>
    <t xml:space="preserve">Total = Unit price x 3, calculated accurately by JavaScript, with no discrepancy.</t>
  </si>
  <si>
    <t xml:space="preserve">TC_MERCH_08</t>
  </si>
  <si>
    <t xml:space="preserve">Removing a product from the cart correctly updates the total</t>
  </si>
  <si>
    <t xml:space="preserve">Check that the remove-product button works correctly and the Total is recalculated accurately.</t>
  </si>
  <si>
    <t xml:space="preserve">1. The cart has 2 different products
2. Remove 1 product
3. Check the remaining list and the Total value</t>
  </si>
  <si>
    <t xml:space="preserve">A cart with 2 products</t>
  </si>
  <si>
    <t xml:space="preserve">The removed product disappears from the list; the Total automatically recalculates correctly to only reflect the remaining product's value.</t>
  </si>
  <si>
    <t xml:space="preserve">TC_MERCH_09</t>
  </si>
  <si>
    <t xml:space="preserve">Adding the same product multiple times only increases quantity</t>
  </si>
  <si>
    <t xml:space="preserve">Check that when the same product is added multiple times from the list page, the cart only increases the quantity, without creating a duplicate line.</t>
  </si>
  <si>
    <t xml:space="preserve">1. Add product A to the cart
2. Return to the list, add product A again
3. Open the cart to check</t>
  </si>
  <si>
    <t xml:space="preserve">1 product A, added twice in a row</t>
  </si>
  <si>
    <t xml:space="preserve">The cart has only one line for product A with quantity = 2, without creating 2 separate lines.</t>
  </si>
  <si>
    <t xml:space="preserve">TC_MERCH_10</t>
  </si>
  <si>
    <t xml:space="preserve">An empty cart shows a reasonable Empty Cart message</t>
  </si>
  <si>
    <t xml:space="preserve">Check that the cart UI shows an Empty Cart message/illustration when there are no products yet.</t>
  </si>
  <si>
    <t xml:space="preserve">1. Make sure the cart is empty (remove all products if any)
2. Open the cart</t>
  </si>
  <si>
    <t xml:space="preserve">Empty cart</t>
  </si>
  <si>
    <t xml:space="preserve">Shows a "Your cart is empty" message/illustration with a suggested button to return to shopping.</t>
  </si>
  <si>
    <t xml:space="preserve">TC_MERCH_11</t>
  </si>
  <si>
    <t xml:space="preserve">The cart does NOT have a real Checkout/Payment button</t>
  </si>
  <si>
    <t xml:space="preserve">Check that the cart does not provide a real payment function, per the SRS constraint.</t>
  </si>
  <si>
    <t xml:space="preserve">1. Open the cart with products in it
2. Observe all available buttons/actions in the cart</t>
  </si>
  <si>
    <t xml:space="preserve">A cart with at least 1 product</t>
  </si>
  <si>
    <t xml:space="preserve">There is no "Checkout"/"Payment" button leading to a real payment process; if a similar button exists, it is illustrative/disabled only and does not process a real transaction.</t>
  </si>
  <si>
    <t xml:space="preserve">Testing compliance with the SRS's No-backend/No-payment constraint.</t>
  </si>
  <si>
    <t xml:space="preserve">TC_MERCH_12</t>
  </si>
  <si>
    <t xml:space="preserve">Cart data is stored in LocalStorage and persists after F5</t>
  </si>
  <si>
    <t xml:space="preserve">Check that the cart is temporarily stored in LocalStorage and is not lost after reloading the page.</t>
  </si>
  <si>
    <t xml:space="preserve">1. Add 2 products to the cart
2. Press F5 to reload the page
3. Reopen the cart and check</t>
  </si>
  <si>
    <t xml:space="preserve">2 products in the cart before F5</t>
  </si>
  <si>
    <t xml:space="preserve">After reloading the page, the cart still holds the same 2 products and their quantities.</t>
  </si>
  <si>
    <t xml:space="preserve">TC_MERCH_13</t>
  </si>
  <si>
    <t xml:space="preserve">The cart persists when navigating between Category Hubs</t>
  </si>
  <si>
    <t xml:space="preserve">Check that the cart is not reset when the user navigates back and forth between different pages in the app.</t>
  </si>
  <si>
    <t xml:space="preserve">1. Add 1 product to the cart
2. Navigate through 2-3 different Category Hubs
3. Reopen the cart to check</t>
  </si>
  <si>
    <t xml:space="preserve">1 product in the cart</t>
  </si>
  <si>
    <t xml:space="preserve">The cart still retains the added product after navigating through multiple different pages.</t>
  </si>
  <si>
    <t xml:space="preserve">TC_MERCH_14</t>
  </si>
  <si>
    <t xml:space="preserve">Validating the direct quantity input field in the cart</t>
  </si>
  <si>
    <t xml:space="preserve">Check that the direct quantity input field (if present) blocks invalid values such as negative numbers, zero, and letters.</t>
  </si>
  <si>
    <t xml:space="preserve">1. Open the cart with 1 product
2. Enter quantity = -1 into the quantity field
3. Try entering 0
4. Try entering the letters "abc"</t>
  </si>
  <si>
    <t xml:space="preserve">Quantity input: -1, 0, abc</t>
  </si>
  <si>
    <t xml:space="preserve">For each invalid value, the UI either rejects it or auto-corrects to a minimum valid value (e.g. 1), not accepting negative numbers/letters.</t>
  </si>
  <si>
    <t xml:space="preserve">TC_MERCH_15</t>
  </si>
  <si>
    <t xml:space="preserve">Total is calculated accurately for a product with a price range</t>
  </si>
  <si>
    <t xml:space="preserve">Check that the Total is calculated correctly when a product in the cart has a Price Range instead of a fixed price (per the agreed convention, e.g. using the lowest price).</t>
  </si>
  <si>
    <t xml:space="preserve">1. Add a product with a Price Range (e.g. 100,000d - 150,000d) to the cart
2. Check the value added to the Total</t>
  </si>
  <si>
    <t xml:space="preserve">1 product with Price Range: 100,000d - 150,000d</t>
  </si>
  <si>
    <t xml:space="preserve">The Total adds correctly per the agreed display convention (e.g. the lowest price in the range), with a clear note that this is a provisional price based on the range.</t>
  </si>
  <si>
    <t xml:space="preserve">Confirm the pricing convention with the BA before marking this Fail.</t>
  </si>
  <si>
    <t xml:space="preserve">TC_MERCH_16</t>
  </si>
  <si>
    <t xml:space="preserve">A reasonable maximum quantity limit for a single product</t>
  </si>
  <si>
    <t xml:space="preserve">Check the maximum allowed quantity limit for adding a single product to the cart (if the system applies such a rule).</t>
  </si>
  <si>
    <t xml:space="preserve">1. Open the cart with 1 product
2. Keep pressing + until exceeding the assumed limit (e.g. 99)
3. Observe the behavior when the limit is reached</t>
  </si>
  <si>
    <t xml:space="preserve">1 product, increasing quantity to 100</t>
  </si>
  <si>
    <t xml:space="preserve">The + button becomes disabled or shows a message once the maximum allowed quantity is reached, preventing it from exceeding the limit.</t>
  </si>
  <si>
    <t xml:space="preserve">Only applies if the system enforces a maximum quantity limit.</t>
  </si>
  <si>
    <t xml:space="preserve">TC_MERCH_17</t>
  </si>
  <si>
    <t xml:space="preserve">Filter/sort products by Merchandise type</t>
  </si>
  <si>
    <t xml:space="preserve">Check that the filter by product type (Collectibles, Apparel, Accessories, Plushies, Figures) correctly filters the list.</t>
  </si>
  <si>
    <t xml:space="preserve">1. Go to the Merchandise page
2. Select Type Filter = "Apparel"
3. Observe the result list</t>
  </si>
  <si>
    <t xml:space="preserve">Type filter: Apparel</t>
  </si>
  <si>
    <t xml:space="preserve">The list only shows products correctly belonging to the Apparel type.</t>
  </si>
  <si>
    <t xml:space="preserve">TC_MERCH_18</t>
  </si>
  <si>
    <t xml:space="preserve">Filter/sort products by price</t>
  </si>
  <si>
    <t xml:space="preserve">Check that the sort option for products by ascending/descending price works correctly.</t>
  </si>
  <si>
    <t xml:space="preserve">1. Go to the Merchandise page
2. Select Sort "Price: low to high", note the price order of the first 3 products
3. Select Sort "Price: high to low", note it again</t>
  </si>
  <si>
    <t xml:space="preserve">Sort: Price low-high, Price high-low</t>
  </si>
  <si>
    <t xml:space="preserve">The list sorts correctly in ascending price order when "low-high" is selected, and descending when "high-low" is selected.</t>
  </si>
  <si>
    <t xml:space="preserve">TC_MERCH_19</t>
  </si>
  <si>
    <t xml:space="preserve">Clicking a product correctly opens the product detail page/modal</t>
  </si>
  <si>
    <t xml:space="preserve">Check that clicking a product correctly opens the detail page or modal with full information.</t>
  </si>
  <si>
    <t xml:space="preserve">1. Click any product card
2. Observe the detail page/modal that opens</t>
  </si>
  <si>
    <t xml:space="preserve">The detail page/modal fully shows the image (zoomable), name, price, full description, and an Add to Cart button.</t>
  </si>
  <si>
    <t xml:space="preserve">TC_MERCH_20</t>
  </si>
  <si>
    <t xml:space="preserve">The Clear Cart button works correctly and requires confirmation</t>
  </si>
  <si>
    <t xml:space="preserve">Check that the Clear Cart button removes all products from the cart and requires a confirmation step before clearing.</t>
  </si>
  <si>
    <t xml:space="preserve">1. The cart has 2 or more products
2. Press the "Clear Cart" button
3. Confirm in the warning dialog (if present)</t>
  </si>
  <si>
    <t xml:space="preserve">A cart with 2 or more products</t>
  </si>
  <si>
    <t xml:space="preserve">A confirmation dialog appears before clearing; after confirming, the cart returns to a completely empty state.</t>
  </si>
  <si>
    <t xml:space="preserve">TC_MERCH_21</t>
  </si>
  <si>
    <t xml:space="preserve">Safe display when a product image path is broken</t>
  </si>
  <si>
    <t xml:space="preserve">Check that the UI shows a placeholder image when a product's image path in merchandise.json is invalid.</t>
  </si>
  <si>
    <t xml:space="preserve">1. Prepare a test product record with an incorrect image path
2. Go to the Merchandise page, observe that product's card</t>
  </si>
  <si>
    <t xml:space="preserve">A product record with a broken image path</t>
  </si>
  <si>
    <t xml:space="preserve">A default placeholder image displays in place of the broken image, with no broken card layout.</t>
  </si>
  <si>
    <t xml:space="preserve">TC_MERCH_22</t>
  </si>
  <si>
    <t xml:space="preserve">The Merchandise page and cart are responsive correctly on mobile</t>
  </si>
  <si>
    <t xml:space="preserve">Check that the Merchandise page and adding/editing the cart work smoothly on a mobile device.</t>
  </si>
  <si>
    <t xml:space="preserve">Mobile: Android 14 (Samsung/Pixel) &amp; iOS 17 - Safari/Chrome Mobile
URL: https://fandomverse.example.com/#merchandise</t>
  </si>
  <si>
    <t xml:space="preserve">1. Open a mobile browser, go to the Merchandise page
2. Add a product to the cart, open the cart, try increasing/decreasing the quantity</t>
  </si>
  <si>
    <t xml:space="preserve">Any product, viewport 375px</t>
  </si>
  <si>
    <t xml:space="preserve">The product grid displays reasonably on the small screen; adding/editing the cart is smooth, with buttons large enough to tap (tap target).</t>
  </si>
  <si>
    <t xml:space="preserve">K. AI CHATBOT  (16 test cases)</t>
  </si>
  <si>
    <t xml:space="preserve">TC_BOT_01</t>
  </si>
  <si>
    <t xml:space="preserve">The floating chatbot icon displays on every page and can be opened/closed</t>
  </si>
  <si>
    <t xml:space="preserve">Check that the floating chatbot icon displays on every page and the chat window can be opened/closed.</t>
  </si>
  <si>
    <t xml:space="preserve">1. Visit 3 different pages in turn (Home, Category Hub, Merchandise)
2. On each page, click the chatbot icon to open it, then click it again to close it</t>
  </si>
  <si>
    <t xml:space="preserve">3 different pages in the system</t>
  </si>
  <si>
    <t xml:space="preserve">The chatbot icon displays consistently across all 3 pages; clicking opens the correct chat window, and clicking again correctly closes it.</t>
  </si>
  <si>
    <t xml:space="preserve">TC_BOT_02</t>
  </si>
  <si>
    <t xml:space="preserve">A default welcome message displays when the chatbot is opened for the first time</t>
  </si>
  <si>
    <t xml:space="preserve">Check that the chatbot shows a default welcome message when the user opens the chat window for the first time in a session.</t>
  </si>
  <si>
    <t xml:space="preserve">1. Clear session data / reload the page completely
2. Click to open the chatbot for the first time
3. Observe the first message that appears</t>
  </si>
  <si>
    <t xml:space="preserve">A new session, chatbot never opened before</t>
  </si>
  <si>
    <t xml:space="preserve">The chatbot correctly shows the default welcome message along with initial suggested questions/quick replies.</t>
  </si>
  <si>
    <t xml:space="preserve">TC_BOT_03</t>
  </si>
  <si>
    <t xml:space="preserve">The chatbot correctly answers a question matching an FAQ rule (Happy path)</t>
  </si>
  <si>
    <t xml:space="preserve">Check that the chatbot answers accurately when the user's question matches a rule in chatbot_faq.json.</t>
  </si>
  <si>
    <t xml:space="preserve">1. Open the chatbot
2. Type a question matching a known FAQ (e.g. "How do I add a product to the cart?")
3. Send the message, observe the answer</t>
  </si>
  <si>
    <t xml:space="preserve">Question: "How do I add a product to the cart?"</t>
  </si>
  <si>
    <t xml:space="preserve">The chatbot answers with the exact content pre-configured in chatbot_faq.json for that question.</t>
  </si>
  <si>
    <t xml:space="preserve">Happy path - runs first in the Chatbot group.</t>
  </si>
  <si>
    <t xml:space="preserve">TC_BOT_04</t>
  </si>
  <si>
    <t xml:space="preserve">Quick reply buttons work correctly</t>
  </si>
  <si>
    <t xml:space="preserve">Check that the quick reply buttons suggested by the chatbot work correctly when the user taps them.</t>
  </si>
  <si>
    <t xml:space="preserve">1. Open the chatbot, observe the suggested quick reply buttons
2. Click any quick reply button
3. Observe the chatbot's next response</t>
  </si>
  <si>
    <t xml:space="preserve">Any quick reply button</t>
  </si>
  <si>
    <t xml:space="preserve">Clicking a quick reply sends the corresponding content and receives an appropriate response from the chatbot, without needing to type manually.</t>
  </si>
  <si>
    <t xml:space="preserve">TC_BOT_05</t>
  </si>
  <si>
    <t xml:space="preserve">Chatbot deep-links correctly navigate to internal category pages</t>
  </si>
  <si>
    <t xml:space="preserve">Check that when the chatbot suggests an internal link, clicking the suggestion navigates correctly to the matching page.</t>
  </si>
  <si>
    <t xml:space="preserve">1. Open the chatbot, ask a question related to a specific category (e.g. "I want to see Anime")
2. Click the link/button suggested in the chatbot's reply</t>
  </si>
  <si>
    <t xml:space="preserve">Question: "I want to see Anime"</t>
  </si>
  <si>
    <t xml:space="preserve">The chatbot returns a suggestion with a link; clicking the link navigates correctly to the "Anime" Category Hub.</t>
  </si>
  <si>
    <t xml:space="preserve">TC_BOT_06</t>
  </si>
  <si>
    <t xml:space="preserve">The chatbot responds reasonably when a question matches no rule (Fallback)</t>
  </si>
  <si>
    <t xml:space="preserve">Check that the chatbot shows a reasonable fallback message when a question does not match any FAQ rule.</t>
  </si>
  <si>
    <t xml:space="preserve">1. Open the chatbot
2. Type a random question unrelated to the FAQ (e.g. "What's the weather like today?")
3. Send the message, observe the response</t>
  </si>
  <si>
    <t xml:space="preserve">Question: "What's the weather like today?"</t>
  </si>
  <si>
    <t xml:space="preserve">The chatbot returns a polite fallback message (e.g. "Sorry, I don't understand this question, you could try...") along with suggestions of common questions.</t>
  </si>
  <si>
    <t xml:space="preserve">TC_BOT_07</t>
  </si>
  <si>
    <t xml:space="preserve">Safe display when a script is entered into the chat box</t>
  </si>
  <si>
    <t xml:space="preserve">Check that the chatbot message input re-displays content as plain text and does not execute code when a script is entered.</t>
  </si>
  <si>
    <t xml:space="preserve">1. Open the chatbot
2. Enter a script snippet into the chat box and send it
3. Observe the message displayed in the chat window</t>
  </si>
  <si>
    <t xml:space="preserve">Content: &lt;script&gt;alert('test')&lt;/script&gt;</t>
  </si>
  <si>
    <t xml:space="preserve">The message displays as plain text in the chat window, with no unexpected popup/alert appearing.</t>
  </si>
  <si>
    <t xml:space="preserve">TC_BOT_08</t>
  </si>
  <si>
    <t xml:space="preserve">Conversation history is preserved when the chat is minimized and reopened within the same session</t>
  </si>
  <si>
    <t xml:space="preserve">Check that the chatbot's message history is not lost when the user minimizes and reopens the chat window within the same work session.</t>
  </si>
  <si>
    <t xml:space="preserve">1. Open the chatbot, send 2-3 messages
2. Minimize (close) the chat window
3. Reopen the chat window</t>
  </si>
  <si>
    <t xml:space="preserve">2-3 previously sent messages</t>
  </si>
  <si>
    <t xml:space="preserve">All prior conversation history still displays fully when the chat window is reopened within the same session.</t>
  </si>
  <si>
    <t xml:space="preserve">TC_BOT_09</t>
  </si>
  <si>
    <t xml:space="preserve">Chat history behavior when the page is reloaded (F5)</t>
  </si>
  <si>
    <t xml:space="preserve">Check the chatbot conversation history behavior when the page is reloaded, matching the agreed design (retain or reset).</t>
  </si>
  <si>
    <t xml:space="preserve">1. Open the chatbot, send 1-2 messages
2. Press F5 to reload the page
3. Reopen the chatbot, observe the conversation history</t>
  </si>
  <si>
    <t xml:space="preserve">1-2 messages sent before F5</t>
  </si>
  <si>
    <t xml:space="preserve">The conversation history behaves consistently per the design agreed with the BA (e.g. reset to the welcome message, or preserved if saved in LocalStorage) - with no abnormal error/blank state shown.</t>
  </si>
  <si>
    <t xml:space="preserve">Confirm the intended design (retain or reset history) before marking this Fail.</t>
  </si>
  <si>
    <t xml:space="preserve">TC_BOT_10</t>
  </si>
  <si>
    <t xml:space="preserve">The chatbot window's close/minimize button works correctly</t>
  </si>
  <si>
    <t xml:space="preserve">Check that the close/minimize button on the chatbot window works correctly, returning to the original floating icon.</t>
  </si>
  <si>
    <t xml:space="preserve">1. Open the chatbot window
2. Press the close/minimize button (X or arrow) on the chat window</t>
  </si>
  <si>
    <t xml:space="preserve">The chat window closes, returning to showing the floating chatbot icon as before.</t>
  </si>
  <si>
    <t xml:space="preserve">TC_BOT_11</t>
  </si>
  <si>
    <t xml:space="preserve">The chatbot does not call an external AI API</t>
  </si>
  <si>
    <t xml:space="preserve">Check that the chatbot operates entirely on local data, without sending requests to an external AI API, per SRS section 1.5.3.</t>
  </si>
  <si>
    <t xml:space="preserve">1. Open DevTools &gt; Network, filter by domain
2. Open the chatbot and send 3-5 different questions
3. Observe the list of requests generated in the Network tab</t>
  </si>
  <si>
    <t xml:space="preserve">3-5 different questions sent to the chatbot</t>
  </si>
  <si>
    <t xml:space="preserve">No request is sent to any external AI API domain (e.g. openai.com, anthropic.com, etc.); all processing occurs client-side based on chatbot_faq.json.</t>
  </si>
  <si>
    <t xml:space="preserve">Testing compliance with the SRS's No external AI API constraint.</t>
  </si>
  <si>
    <t xml:space="preserve">TC_BOT_12</t>
  </si>
  <si>
    <t xml:space="preserve">The chatbot displays correctly when a question contains Vietnamese diacritics</t>
  </si>
  <si>
    <t xml:space="preserve">Check that the chatbot correctly processes and displays questions/answers containing Vietnamese diacritics.</t>
  </si>
  <si>
    <t xml:space="preserve">1. Open the chatbot
2. Type a question with Vietnamese diacritics matching an FAQ rule
3. Send and observe the answer</t>
  </si>
  <si>
    <t xml:space="preserve">Question: "Làm sao để tìm kiếm nội dung Anime?" (How do I search for Anime content?)</t>
  </si>
  <si>
    <t xml:space="preserve">The question and answer display correctly, with full Vietnamese diacritics, no encoding errors/garbled characters.</t>
  </si>
  <si>
    <t xml:space="preserve">TC_BOT_13</t>
  </si>
  <si>
    <t xml:space="preserve">The chat input blocks sending an empty message</t>
  </si>
  <si>
    <t xml:space="preserve">Check that the Send button is disabled or fails to send when the chat message input is empty.</t>
  </si>
  <si>
    <t xml:space="preserve">1. Open the chatbot, don't type anything into the chat box
2. Press the Send button (or Enter)</t>
  </si>
  <si>
    <t xml:space="preserve">Message content: (empty)</t>
  </si>
  <si>
    <t xml:space="preserve">No empty message is sent/displayed in the chat window; the Send button may be disabled while the box is empty.</t>
  </si>
  <si>
    <t xml:space="preserve">TC_BOT_14</t>
  </si>
  <si>
    <t xml:space="preserve">The chatbot displays the correct layout on mobile devices</t>
  </si>
  <si>
    <t xml:space="preserve">Check that the chatbot window displays reasonably, without covering the main content, when opened on a mobile device.</t>
  </si>
  <si>
    <t xml:space="preserve">Mobile: Android 14 (Samsung/Pixel) &amp; iOS 17 - Safari/Chrome Mobile
URL: https://fandomverse.example.com/#home</t>
  </si>
  <si>
    <t xml:space="preserve">1. Open a mobile browser
2. Click the chatbot icon to open the chat window
3. Observe the chat window's size/position on the small screen</t>
  </si>
  <si>
    <t xml:space="preserve">The chat window opens taking up a reasonable portion of the screen (possibly fullscreen on mobile), with an easy-to-tap close button, without completely blocking other actions.</t>
  </si>
  <si>
    <t xml:space="preserve">TC_BOT_15</t>
  </si>
  <si>
    <t xml:space="preserve">The typing indicator effect displays reasonably</t>
  </si>
  <si>
    <t xml:space="preserve">Check that the chatbot shows a "typing" indicator for a short time before responding.</t>
  </si>
  <si>
    <t xml:space="preserve">1. Open the chatbot, send any question
2. Observe the time between sending and receiving the answer</t>
  </si>
  <si>
    <t xml:space="preserve">Any question</t>
  </si>
  <si>
    <t xml:space="preserve">A typing indicator effect (3 blinking dots) appears for a reasonably short time before the answer displays, creating a natural feel.</t>
  </si>
  <si>
    <t xml:space="preserve">TC_BOT_16</t>
  </si>
  <si>
    <t xml:space="preserve">Keyboard accessibility for the entire chatbot flow</t>
  </si>
  <si>
    <t xml:space="preserve">Check that users can open the chatbot, type, and send a message entirely with the keyboard.</t>
  </si>
  <si>
    <t xml:space="preserve">1. Use Tab to focus the chatbot icon, press Enter to open it
2. Tab to the message input, type content
3. Press Enter to send</t>
  </si>
  <si>
    <t xml:space="preserve">Content: any question</t>
  </si>
  <si>
    <t xml:space="preserve">The entire flow of opening the chatbot, typing, and sending a message can be completed fully with the keyboard alone, with no mouse needed.</t>
  </si>
  <si>
    <t xml:space="preserve">L. BOOKMARK &amp; NOTES  (14 test cases)</t>
  </si>
  <si>
    <t xml:space="preserve">TC_BM_01</t>
  </si>
  <si>
    <t xml:space="preserve">Bookmarking a piece of content via the Bookmark button on a card</t>
  </si>
  <si>
    <t xml:space="preserve">Check that users can bookmark a piece of content (article/character/event) directly via the Bookmark button on its card.</t>
  </si>
  <si>
    <t xml:space="preserve">Web: Chrome 125+, Firefox 126+, Safari 17+ / Windows 11 &amp; macOS
URL: https://fandomverse.example.com/#bookmarks</t>
  </si>
  <si>
    <t xml:space="preserve">1. Go to any Category Hub
2. Click the Bookmark icon on a content card
3. Observe the icon's state change</t>
  </si>
  <si>
    <t xml:space="preserve">Any content card</t>
  </si>
  <si>
    <t xml:space="preserve">The Bookmark icon changes state (e.g. from outline to filled) immediately after clicking, with a short confirmation notice (toast).</t>
  </si>
  <si>
    <t xml:space="preserve">TC_BM_02</t>
  </si>
  <si>
    <t xml:space="preserve">The Bookmark list correctly shows saved content</t>
  </si>
  <si>
    <t xml:space="preserve">Check that the Bookmarks page fully and accurately displays the list of bookmarked content.</t>
  </si>
  <si>
    <t xml:space="preserve">1. Bookmark 3 different pieces of content of different types (article, character, event)
2. Go to the Bookmarks page
3. Compare the displayed list</t>
  </si>
  <si>
    <t xml:space="preserve">3 items: 1 article, 1 character, 1 event</t>
  </si>
  <si>
    <t xml:space="preserve">The Bookmarks page fully and correctly shows all 3 saved items, with accurate information for each.</t>
  </si>
  <si>
    <t xml:space="preserve">Happy path - runs first in the Bookmark group.</t>
  </si>
  <si>
    <t xml:space="preserve">TC_BM_03</t>
  </si>
  <si>
    <t xml:space="preserve">Removing a bookmark immediately updates the list</t>
  </si>
  <si>
    <t xml:space="preserve">Check that the un-bookmark function correctly removes the content from the list immediately.</t>
  </si>
  <si>
    <t xml:space="preserve">1. From the Bookmarks page with existing content, click the (filled) Bookmark icon on an item to unsave it
2. Observe the list after removal</t>
  </si>
  <si>
    <t xml:space="preserve">An item previously bookmarked</t>
  </si>
  <si>
    <t xml:space="preserve">That item immediately disappears from the Bookmarks list, without needing to reload the page.</t>
  </si>
  <si>
    <t xml:space="preserve">TC_BM_04</t>
  </si>
  <si>
    <t xml:space="preserve">Bookmark data is stored in LocalStorage and persists after F5/reopening</t>
  </si>
  <si>
    <t xml:space="preserve">Check that Bookmark data is persistently stored in LocalStorage and is not lost after reloading the page or closing and reopening the browser.</t>
  </si>
  <si>
    <t xml:space="preserve">1. Bookmark 2 items
2. Press F5 to reload, check the Bookmarks list
3. Fully close the browser, reopen it, and check again</t>
  </si>
  <si>
    <t xml:space="preserve">2 previously bookmarked items</t>
  </si>
  <si>
    <t xml:space="preserve">The Bookmark list remains fully intact after both checks (F5 and closing/reopening the browser).</t>
  </si>
  <si>
    <t xml:space="preserve">TC_BM_05</t>
  </si>
  <si>
    <t xml:space="preserve">Adding a personal note to a bookmarked item</t>
  </si>
  <si>
    <t xml:space="preserve">Check that users can add a personal note to a bookmarked item.</t>
  </si>
  <si>
    <t xml:space="preserve">1. Go to the Bookmarks page, select an item
2. Open the note input, enter note content
3. Save the note</t>
  </si>
  <si>
    <t xml:space="preserve">Note content: "Watch the final episode over the weekend"</t>
  </si>
  <si>
    <t xml:space="preserve">The note is saved and correctly displays right beside/below the corresponding bookmark item.</t>
  </si>
  <si>
    <t xml:space="preserve">TC_BM_06</t>
  </si>
  <si>
    <t xml:space="preserve">Personal notes are stored in SessionStorage and are lost after fully closing the browser</t>
  </si>
  <si>
    <t xml:space="preserve">Check that personal notes only exist for the current session (SessionStorage) and are lost after fully closing the browser/tab, per SRS section 1.6.12.</t>
  </si>
  <si>
    <t xml:space="preserve">1. Add a note to a bookmark item
2. Press F5 to reload the page, check whether the note remains
3. Fully close the browser (all tabs), reopen it, and check the note</t>
  </si>
  <si>
    <t xml:space="preserve">A note added earlier</t>
  </si>
  <si>
    <t xml:space="preserve">The note is still present after F5 (same session); the note disappears after fully closing and reopening the browser (a new session), matching SessionStorage behavior.</t>
  </si>
  <si>
    <t xml:space="preserve">Testing correct compliance with the SessionStorage mechanism per the SRS.</t>
  </si>
  <si>
    <t xml:space="preserve">TC_BM_07</t>
  </si>
  <si>
    <t xml:space="preserve">Editing the content of a previously created note</t>
  </si>
  <si>
    <t xml:space="preserve">Check that users can edit the content of a note previously created for a bookmark item.</t>
  </si>
  <si>
    <t xml:space="preserve">1. Open a bookmark item that already has a note
2. Press Edit on the note, change the content
3. Save it</t>
  </si>
  <si>
    <t xml:space="preserve">Old note: "Watch the last episode" -&gt; New note: "Finished watching, really good"</t>
  </si>
  <si>
    <t xml:space="preserve">The note correctly displays the new content after saving, with no trace of the old content remaining.</t>
  </si>
  <si>
    <t xml:space="preserve">TC_BM_08</t>
  </si>
  <si>
    <t xml:space="preserve">Deleting a bookmark item's note</t>
  </si>
  <si>
    <t xml:space="preserve">Check that the delete-note function works correctly, without affecting the bookmark status of that item.</t>
  </si>
  <si>
    <t xml:space="preserve">1. Open a bookmark item that already has a note
2. Press the Delete Note button
3. Observe the bookmark item's state after the note is deleted</t>
  </si>
  <si>
    <t xml:space="preserve">A bookmark item with an existing note</t>
  </si>
  <si>
    <t xml:space="preserve">The note is completely deleted (the note field is empty); the bookmark item remains in the list, not deleted along with the note.</t>
  </si>
  <si>
    <t xml:space="preserve">TC_BM_09</t>
  </si>
  <si>
    <t xml:space="preserve">Exporting the Bookmark list to a text file in the correct format</t>
  </si>
  <si>
    <t xml:space="preserve">Check that the Export function correctly exports the bookmark list to a readable text file.</t>
  </si>
  <si>
    <t xml:space="preserve">1. Have 2 or more bookmark items on the Bookmarks page
2. Press the "Export list" button
3. Open the downloaded text file, check its content</t>
  </si>
  <si>
    <t xml:space="preserve">A list with 2 or more bookmark items</t>
  </si>
  <si>
    <t xml:space="preserve">The text file downloads successfully, fully and accurately listing the bookmarked items in a clear, readable format.</t>
  </si>
  <si>
    <t xml:space="preserve">TC_BM_10</t>
  </si>
  <si>
    <t xml:space="preserve">Empty state when there are no bookmarks yet</t>
  </si>
  <si>
    <t xml:space="preserve">Check that the Bookmarks page shows a reasonable message when the user has not saved any bookmarks yet.</t>
  </si>
  <si>
    <t xml:space="preserve">1. Make sure there are no bookmarks yet (remove all if any)
2. Go to the Bookmarks page</t>
  </si>
  <si>
    <t xml:space="preserve">An empty bookmark list</t>
  </si>
  <si>
    <t xml:space="preserve">Shows a "You haven't saved any content yet" message/illustration with a suggestion to explore content.</t>
  </si>
  <si>
    <t xml:space="preserve">TC_BM_11</t>
  </si>
  <si>
    <t xml:space="preserve">The Bookmark icon stays in sync everywhere the same content is shown</t>
  </si>
  <si>
    <t xml:space="preserve">Check that the Bookmark icon for the same piece of content shows a synced state (filled/outline) everywhere it appears in the UI.</t>
  </si>
  <si>
    <t xml:space="preserve">1. Bookmark a piece of content from a Category Hub
2. Open that same content's detail page, observe the Bookmark icon
3. Reopen the original Category Hub, observe the icon on the card</t>
  </si>
  <si>
    <t xml:space="preserve">Any content</t>
  </si>
  <si>
    <t xml:space="preserve">The Bookmark icon shows a synced filled (saved) state on both the list card and the detail page.</t>
  </si>
  <si>
    <t xml:space="preserve">TC_BM_12</t>
  </si>
  <si>
    <t xml:space="preserve">Personal note length limit</t>
  </si>
  <si>
    <t xml:space="preserve">Check the personal note length limit (if any) and the message shown when it is exceeded.</t>
  </si>
  <si>
    <t xml:space="preserve">1. Open the note input for a bookmark item
2. Enter a string longer than an assumed limit (e.g. 1000 characters)
3. Try to save</t>
  </si>
  <si>
    <t xml:space="preserve">Note content: a 1000-character string</t>
  </si>
  <si>
    <t xml:space="preserve">The UI blocks input beyond the limit (maxlength) or shows an error message when saving beyond the limit, without saving an overly long note that breaks the layout.</t>
  </si>
  <si>
    <t xml:space="preserve">TC_BM_13</t>
  </si>
  <si>
    <t xml:space="preserve">Safe display when a script is entered into the note box</t>
  </si>
  <si>
    <t xml:space="preserve">Check that a personal note displays as plain text and does not execute code when a script snippet is entered.</t>
  </si>
  <si>
    <t xml:space="preserve">1. Open the note input for a bookmark item
2. Enter a script snippet into the note box and save
3. Observe the note when displayed again</t>
  </si>
  <si>
    <t xml:space="preserve">Note content: &lt;script&gt;alert('note')&lt;/script&gt;</t>
  </si>
  <si>
    <t xml:space="preserve">The note displays as plain text, with no unexpected popup/alert appearing.</t>
  </si>
  <si>
    <t xml:space="preserve">TC_BM_14</t>
  </si>
  <si>
    <t xml:space="preserve">The Bookmarks &amp; Notes page is responsive correctly on mobile</t>
  </si>
  <si>
    <t xml:space="preserve">Check that the Bookmarks page and adding/editing notes display correctly and are easy to use on a mobile device.</t>
  </si>
  <si>
    <t xml:space="preserve">Mobile: Android 14 (Samsung/Pixel) &amp; iOS 17 - Safari/Chrome Mobile
URL: https://fandomverse.example.com/#bookmarks</t>
  </si>
  <si>
    <t xml:space="preserve">1. Open a mobile browser, go to the Bookmarks page with existing data
2. Try adding/editing a note on the small screen</t>
  </si>
  <si>
    <t xml:space="preserve">A bookmark list with existing data, viewport 375px</t>
  </si>
  <si>
    <t xml:space="preserve">The list and note input display neatly, easy to operate by touch, with no horizontal screen overflow.</t>
  </si>
  <si>
    <t xml:space="preserve">M. ADDITIONAL FEATURES (VISITOR COUNTER, CLOCK, BREADCRUMB, DUMMY LOGIN, STATIC PAGES)  (16 test cases)</t>
  </si>
  <si>
    <t xml:space="preserve">TC_MISC_01</t>
  </si>
  <si>
    <t xml:space="preserve">The Visitor Counter shows a number and increases with a new visit</t>
  </si>
  <si>
    <t xml:space="preserve">Check that the Visitor Counter displays a number and correctly increases when a new visit is simulated via LocalStorage.</t>
  </si>
  <si>
    <t xml:space="preserve">1. Go to the homepage, note the current Visitor Counter number
2. Clear the session data and reopen the homepage as if it were a new visit
3. Compare the numbers before and after</t>
  </si>
  <si>
    <t xml:space="preserve">The Visitor Counter number before simulating a new visit</t>
  </si>
  <si>
    <t xml:space="preserve">The Visitor Counter number increases by exactly 1 after simulating a new visit.</t>
  </si>
  <si>
    <t xml:space="preserve">TC_MISC_02</t>
  </si>
  <si>
    <t xml:space="preserve">The Visitor Counter does not increase on F5 within the same session</t>
  </si>
  <si>
    <t xml:space="preserve">Check that the Visitor Counter does not increase its count when the user only reloads the page (F5) within the same session, per the once-per-session counting design.</t>
  </si>
  <si>
    <t xml:space="preserve">1. Go to the homepage, note the Visitor Counter number
2. Press F5 to reload the page 3 times in a row
3. Compare the numbers after each F5</t>
  </si>
  <si>
    <t xml:space="preserve">The initial Visitor Counter number</t>
  </si>
  <si>
    <t xml:space="preserve">The Visitor Counter number does not change across 3 F5 reloads within the same session.</t>
  </si>
  <si>
    <t xml:space="preserve">TC_MISC_03</t>
  </si>
  <si>
    <t xml:space="preserve">The real-time clock displays correctly and updates automatically</t>
  </si>
  <si>
    <t xml:space="preserve">Check that the Real-Time Clock displays the correct current date/time and automatically updates every second.</t>
  </si>
  <si>
    <t xml:space="preserve">1. Go to the homepage, observe the clock display area
2. Compare it against the computer's system clock
3. Observe continuously for 10 seconds to confirm the clock auto-updates</t>
  </si>
  <si>
    <t xml:space="preserve">The current computer system clock as a reference point</t>
  </si>
  <si>
    <t xml:space="preserve">The clock on the UI matches the system time (small margin of error), automatically updating steadily every second without freezing.</t>
  </si>
  <si>
    <t xml:space="preserve">TC_MISC_04</t>
  </si>
  <si>
    <t xml:space="preserve">Breadcrumb correctly displays the dynamic path across multiple page levels</t>
  </si>
  <si>
    <t xml:space="preserve">Check that the breadcrumb correctly updates when navigating through multiple page levels.</t>
  </si>
  <si>
    <t xml:space="preserve">1. From the homepage, go to the "Movies" Category Hub
2. Continue by clicking on a specific article
3. Observe the breadcrumb at each navigation step</t>
  </si>
  <si>
    <t xml:space="preserve">Home &gt; Movies &gt; [Specific article]</t>
  </si>
  <si>
    <t xml:space="preserve">The breadcrumb correctly updates at each step, accurately reflecting the current path (e.g. Home &gt; Movies &gt; Article Name).</t>
  </si>
  <si>
    <t xml:space="preserve">TC_MISC_05</t>
  </si>
  <si>
    <t xml:space="preserve">Clicking each breadcrumb link correctly navigates to the parent page</t>
  </si>
  <si>
    <t xml:space="preserve">Check that clicking each breadcrumb link correctly navigates to the corresponding parent page.</t>
  </si>
  <si>
    <t xml:space="preserve">1. Navigate to a detail page (breadcrumb has 3 levels)
2. Click the middle-level link (e.g. "Movies")
3. Observe the page navigated to</t>
  </si>
  <si>
    <t xml:space="preserve">A 3-level breadcrumb: Home &gt; Movies &gt; [Detail]</t>
  </si>
  <si>
    <t xml:space="preserve">Clicking the "Movies" link correctly navigates back to the "Movies" Category Hub, with no wrong navigation.</t>
  </si>
  <si>
    <t xml:space="preserve">TC_MISC_06</t>
  </si>
  <si>
    <t xml:space="preserve">The dummy Login/Signup button correctly displays the form UI</t>
  </si>
  <si>
    <t xml:space="preserve">Check that the Dummy Login/Signup button correctly displays the form UI when clicked.</t>
  </si>
  <si>
    <t xml:space="preserve">1. Go to the homepage
2. Click the "Login" (Dummy) button
3. Observe the displayed form/modal
4. Close it, click the "Sign up" (Dummy) button and observe</t>
  </si>
  <si>
    <t xml:space="preserve">Both buttons correctly show their matching form/modal (Login, Sign up) with basic input fields, and no UI errors.</t>
  </si>
  <si>
    <t xml:space="preserve">TC_MISC_07</t>
  </si>
  <si>
    <t xml:space="preserve">Submitting the Dummy Login form does not cause a UI error</t>
  </si>
  <si>
    <t xml:space="preserve">Check that when submitting the Dummy Login/Signup form, the UI handles it reasonably despite there being no real authentication backend.</t>
  </si>
  <si>
    <t xml:space="preserve">1. Open the Dummy Login form
2. Enter any information into the fields
3. Press the Submit/Login button</t>
  </si>
  <si>
    <t xml:space="preserve">Any information: email test@example.com, any password</t>
  </si>
  <si>
    <t xml:space="preserve">The UI responds reasonably per the intended design (e.g. a demo message/showing a simulated logged-in state), with no serious console error or blank page.</t>
  </si>
  <si>
    <t xml:space="preserve">TC_MISC_08</t>
  </si>
  <si>
    <t xml:space="preserve">The Contact page correctly shows a Google Maps embed and GPS info</t>
  </si>
  <si>
    <t xml:space="preserve">Check that the Contact Us page correctly displays an embedded Google Maps along with GPS information.</t>
  </si>
  <si>
    <t xml:space="preserve">1. Go to the "Contact Us" page from the footer
2. Observe the embedded map area</t>
  </si>
  <si>
    <t xml:space="preserve">The Google Maps embed correctly shows the configured location, with basic zoom/pan interaction available, and GPS/address information displayed alongside it.</t>
  </si>
  <si>
    <t xml:space="preserve">TC_MISC_09</t>
  </si>
  <si>
    <t xml:space="preserve">The Contact page fully displays information and validates the basic form</t>
  </si>
  <si>
    <t xml:space="preserve">Check that the Contact Us page fully displays contact information and that the contact form (if present) validates required fields.</t>
  </si>
  <si>
    <t xml:space="preserve">1. Go to the Contact page
2. Check the displayed address, email, and phone number
3. If a contact form exists, leave the required fields empty and press Send</t>
  </si>
  <si>
    <t xml:space="preserve">A contact form with all required fields left empty</t>
  </si>
  <si>
    <t xml:space="preserve">Contact information displays fully and accurately; the contact form (if present) shows a clear error when required fields are left empty, and does not allow sending.</t>
  </si>
  <si>
    <t xml:space="preserve">TC_MISC_10</t>
  </si>
  <si>
    <t xml:space="preserve">The About page fully displays content, with images not breaking the layout</t>
  </si>
  <si>
    <t xml:space="preserve">Check that the About Us page fully displays its introduction content and that illustration images do not break the layout.</t>
  </si>
  <si>
    <t xml:space="preserve">1. Go to the "About Us" page from the footer
2. Scroll through and read the entire page content</t>
  </si>
  <si>
    <t xml:space="preserve">The text content and images display fully, matching the intended design layout, with no broken/overlapping elements.</t>
  </si>
  <si>
    <t xml:space="preserve">TC_MISC_11</t>
  </si>
  <si>
    <t xml:space="preserve">The Visitor Counter/Clock does not cause performance issues when left open a long time</t>
  </si>
  <si>
    <t xml:space="preserve">Check that the Visitor Counter and Real-Time Clock do not cause a memory leak/performance degradation when the page is left open continuously for a long time.</t>
  </si>
  <si>
    <t xml:space="preserve">1. Open the homepage and leave it idle for 15 minutes
2. Monitor memory usage via DevTools &gt; Performance/Task Manager
3. Observe that the clock and Visitor Counter still work normally after 15 minutes</t>
  </si>
  <si>
    <t xml:space="preserve">Monitoring duration: 15 continuous minutes</t>
  </si>
  <si>
    <t xml:space="preserve">Memory usage does not increase abnormally over time; the clock and Visitor Counter still work accurately after 15 minutes.</t>
  </si>
  <si>
    <t xml:space="preserve">Basic client-side memory leak testing.</t>
  </si>
  <si>
    <t xml:space="preserve">TC_MISC_12</t>
  </si>
  <si>
    <t xml:space="preserve">Breadcrumb displays correctly on mobile devices</t>
  </si>
  <si>
    <t xml:space="preserve">Check that the breadcrumb displays reasonably without overflowing a line on a mobile screen, and can scroll horizontally if needed.</t>
  </si>
  <si>
    <t xml:space="preserve">Mobile: Android 14 (Samsung/Pixel) &amp; iOS 17 - Safari/Chrome Mobile
URL: https://fandomverse.example.com/#movies</t>
  </si>
  <si>
    <t xml:space="preserve">1. Open a mobile browser, navigate to a page with a multi-level breadcrumb
2. Observe how the breadcrumb displays on the small screen</t>
  </si>
  <si>
    <t xml:space="preserve">A breadcrumb with 3 or more levels, viewport 375px</t>
  </si>
  <si>
    <t xml:space="preserve">The breadcrumb displays neatly, able to scroll horizontally if it exceeds the screen width, without breaking the overall layout.</t>
  </si>
  <si>
    <t xml:space="preserve">TC_MISC_13</t>
  </si>
  <si>
    <t xml:space="preserve">The dummy Login/Signup button does not call a real authentication API</t>
  </si>
  <si>
    <t xml:space="preserve">Check that the Dummy Login/Signup button does not trigger any real authentication API request, per the SRS's No-backend constraint.</t>
  </si>
  <si>
    <t xml:space="preserve">1. Open DevTools &gt; Network
2. Perform a dummy login/signup action with any information
3. Observe the list of requests generated</t>
  </si>
  <si>
    <t xml:space="preserve">Any information entered into the Dummy Login form</t>
  </si>
  <si>
    <t xml:space="preserve">No request is sent to a real authentication API (endpoints like /login, /auth, etc.); all processing happens client-side.</t>
  </si>
  <si>
    <t xml:space="preserve">Testing compliance with the SRS's No-backend constraint.</t>
  </si>
  <si>
    <t xml:space="preserve">TC_MISC_14</t>
  </si>
  <si>
    <t xml:space="preserve">The footer fully shows links to static pages on every page</t>
  </si>
  <si>
    <t xml:space="preserve">Check that the footer contains Contact Us and About Us links displaying consistently across all pages.</t>
  </si>
  <si>
    <t xml:space="preserve">1. Visit 3 different pages in turn (Home, a Category Hub, the Merchandise page)
2. Scroll to the footer on each page and check the links</t>
  </si>
  <si>
    <t xml:space="preserve">The footer with Contact Us and About Us links displays consistently and works correctly on all 3 pages.</t>
  </si>
  <si>
    <t xml:space="preserve">TC_MISC_15</t>
  </si>
  <si>
    <t xml:space="preserve">The Real-Time Clock displays the correct browser time zone</t>
  </si>
  <si>
    <t xml:space="preserve">Check that the clock displays according to the local time zone of the user's browser/device.</t>
  </si>
  <si>
    <t xml:space="preserve">1. Check the system time zone of the test computer
2. Go to the homepage, compare the clock shown in the UI against the system time zone</t>
  </si>
  <si>
    <t xml:space="preserve">The test machine's system time zone (e.g. GMT+7)</t>
  </si>
  <si>
    <t xml:space="preserve">The time shown on the UI clock matches the time zone of the test device's system.</t>
  </si>
  <si>
    <t xml:space="preserve">TC_MISC_16</t>
  </si>
  <si>
    <t xml:space="preserve">Static pages and additional features are visually consistent with the system</t>
  </si>
  <si>
    <t xml:space="preserve">Check that the font, colors, and spacing of static pages (Contact/About) and additional features are consistent with the rest of the system.</t>
  </si>
  <si>
    <t xml:space="preserve">1. Go to the Contact Us and About Us pages
2. Compare the font, color palette, and button style against the homepage and Category Hub</t>
  </si>
  <si>
    <t xml:space="preserve">Contact Us and About Us pages, compared against the Home page</t>
  </si>
  <si>
    <t xml:space="preserve">Fonts, primary colors, and button/UI element styles are consistent between the static pages and the rest of the system.</t>
  </si>
  <si>
    <t xml:space="preserve">N. COMPATIBILITY, PERFORMANCE &amp; ACCESSIBILITY  (17 test cases)</t>
  </si>
  <si>
    <t xml:space="preserve">TC_QA_01</t>
  </si>
  <si>
    <t xml:space="preserve">The application works correctly on the latest version of Chrome</t>
  </si>
  <si>
    <t xml:space="preserve">Check that all the main app flows (navigation, filter, cart, chatbot) work correctly on Chrome.</t>
  </si>
  <si>
    <t xml:space="preserve">1. Open the latest version of Chrome
2. Perform in turn: view the homepage, go into a Category Hub, add a product to the cart, open the chatbot
3. Note any display/functional errors (if any)</t>
  </si>
  <si>
    <t xml:space="preserve">Browser: Chrome 125+</t>
  </si>
  <si>
    <t xml:space="preserve">All main action flows display and work correctly, with no UI/functional errors on Chrome.</t>
  </si>
  <si>
    <t xml:space="preserve">TC_QA_02</t>
  </si>
  <si>
    <t xml:space="preserve">The application works correctly on the latest version of Firefox</t>
  </si>
  <si>
    <t xml:space="preserve">Check that all the main app flows work correctly on Firefox.</t>
  </si>
  <si>
    <t xml:space="preserve">1. Open the latest version of Firefox
2. Repeat the same main actions as the Chrome test case
3. Note any display/functional errors (if any)</t>
  </si>
  <si>
    <t xml:space="preserve">Browser: Firefox 126+</t>
  </si>
  <si>
    <t xml:space="preserve">All main action flows display and work correctly, with no UI/functional errors on Firefox.</t>
  </si>
  <si>
    <t xml:space="preserve">TC_QA_03</t>
  </si>
  <si>
    <t xml:space="preserve">The application works correctly on the latest version of Safari</t>
  </si>
  <si>
    <t xml:space="preserve">Check that all the main app flows work correctly on Safari.</t>
  </si>
  <si>
    <t xml:space="preserve">1. Open the latest version of Safari on macOS
2. Repeat the same main actions as the Chrome test case
3. Note any display/functional errors (if any)</t>
  </si>
  <si>
    <t xml:space="preserve">Browser: Safari 17+</t>
  </si>
  <si>
    <t xml:space="preserve">All main action flows display and work correctly, with no UI/functional errors on Safari.</t>
  </si>
  <si>
    <t xml:space="preserve">TC_QA_04</t>
  </si>
  <si>
    <t xml:space="preserve">The application displays correctly at large Desktop resolutions</t>
  </si>
  <si>
    <t xml:space="preserve">Check that the overall layout does not stretch unreasonably on a large Desktop screen.</t>
  </si>
  <si>
    <t xml:space="preserve">1. Open the browser at 1920x1080 resolution
2. Browse through the homepage, a Category Hub, a detail page</t>
  </si>
  <si>
    <t xml:space="preserve">Resolution: 1920x1080</t>
  </si>
  <si>
    <t xml:space="preserve">Content is reasonably centered (not stretched across the full width making it hard to read); side margins are balanced, with no misaligned elements.</t>
  </si>
  <si>
    <t xml:space="preserve">TC_QA_05</t>
  </si>
  <si>
    <t xml:space="preserve">The application displays correctly at Tablet resolution</t>
  </si>
  <si>
    <t xml:space="preserve">Check that the layout reasonably adapts when viewed at Tablet resolution.</t>
  </si>
  <si>
    <t xml:space="preserve">1. Shrink the viewport to 768px (iPad)
2. Browse through the homepage, a Category Hub, the cart</t>
  </si>
  <si>
    <t xml:space="preserve">Resolution: 768px</t>
  </si>
  <si>
    <t xml:space="preserve">The layout automatically adjusts to a reasonable number of grid columns for Tablet, with no horizontal overflow, and buttons large enough for touch interaction.</t>
  </si>
  <si>
    <t xml:space="preserve">TC_QA_06</t>
  </si>
  <si>
    <t xml:space="preserve">The application displays correctly at small Mobile resolution</t>
  </si>
  <si>
    <t xml:space="preserve">Check that the layout displays correctly on a small mobile screen (iPhone SE 375px).</t>
  </si>
  <si>
    <t xml:space="preserve">1. Shrink the viewport to 375px
2. Browse through all the app's main pages</t>
  </si>
  <si>
    <t xml:space="preserve">Resolution: 375px (iPhone SE)</t>
  </si>
  <si>
    <t xml:space="preserve">All content fits within the frame, with no horizontal overflow, and text is large enough to read without zooming.</t>
  </si>
  <si>
    <t xml:space="preserve">TC_QA_07</t>
  </si>
  <si>
    <t xml:space="preserve">Text color contrast meets basic WCAG AA standards</t>
  </si>
  <si>
    <t xml:space="preserve">Check that the contrast ratio between text color and background color meets the basic WCAG AA threshold.</t>
  </si>
  <si>
    <t xml:space="preserve">1. Use a contrast-checking tool (e.g. the DevTools Accessibility pane or a contrast-checking extension)
2. Check 5 important text locations: heading, card description, CTA button, breadcrumb, footer</t>
  </si>
  <si>
    <t xml:space="preserve">5 important text locations in the UI</t>
  </si>
  <si>
    <t xml:space="preserve">All 5 locations meet the minimum contrast ratio per WCAG AA (4.5:1 for normal text, 3:1 for large text).</t>
  </si>
  <si>
    <t xml:space="preserve">TC_QA_08</t>
  </si>
  <si>
    <t xml:space="preserve">All images have a reasonable descriptive alt attribute</t>
  </si>
  <si>
    <t xml:space="preserve">Check that images on the main pages have an alt attribute describing the content, supporting screen readers.</t>
  </si>
  <si>
    <t xml:space="preserve">1. Use DevTools to check the alt attribute of images on the homepage, Category Hub, and Merchandise pages
2. Note the number of images missing alt or with an empty alt</t>
  </si>
  <si>
    <t xml:space="preserve">Images on 3 pages: Home, Category Hub, Merchandise</t>
  </si>
  <si>
    <t xml:space="preserve">All content images have a reasonable descriptive alt attribute, not left empty or meaningless (e.g. "image1.jpg").</t>
  </si>
  <si>
    <t xml:space="preserve">TC_QA_09</t>
  </si>
  <si>
    <t xml:space="preserve">Tabbing through the entire application follows a correct logical order</t>
  </si>
  <si>
    <t xml:space="preserve">Check that the Tab order through interactive elements on the homepage follows a logical order, with a clear focus outline.</t>
  </si>
  <si>
    <t xml:space="preserve">1. Go to the homepage, click on the content area to focus it
2. Press Tab repeatedly and note the order in which elements receive focus</t>
  </si>
  <si>
    <t xml:space="preserve">The FandomVerse homepage</t>
  </si>
  <si>
    <t xml:space="preserve">The Tab order goes top to bottom, left to right, following the correct visual flow; each element has a clear focus outline, with no element skipped or abnormally repeated.</t>
  </si>
  <si>
    <t xml:space="preserve">TC_QA_10</t>
  </si>
  <si>
    <t xml:space="preserve">The application is usable with a screen reader for the main flow</t>
  </si>
  <si>
    <t xml:space="preserve">Check that the main navigation flow (opening a category, opening an article) can be used with a basic screen reader.</t>
  </si>
  <si>
    <t xml:space="preserve">1. Enable a screen reader (VoiceOver on macOS or NVDA on Windows)
2. Navigate through the homepage, open a Category Hub, open an article using only the keyboard + screen reader</t>
  </si>
  <si>
    <t xml:space="preserve">Screen reader: VoiceOver/NVDA</t>
  </si>
  <si>
    <t xml:space="preserve">The screen reader correctly reads the content/label of important elements; the user can complete the main navigation flow without looking at the screen.</t>
  </si>
  <si>
    <t xml:space="preserve">Basic accessibility (A11y) testing.</t>
  </si>
  <si>
    <t xml:space="preserve">TC_QA_11</t>
  </si>
  <si>
    <t xml:space="preserve">Measuring the Lighthouse score for Performance/Accessibility/SEO</t>
  </si>
  <si>
    <t xml:space="preserve">Check that the homepage's Google Lighthouse score meets the project's required threshold for Performance, Accessibility, SEO.</t>
  </si>
  <si>
    <t xml:space="preserve">1. Open DevTools &gt; Lighthouse in Chrome
2. Run an audit on the homepage in Desktop and Mobile mode
3. Note the scores for the 3 categories: Performance, Accessibility, SEO</t>
  </si>
  <si>
    <t xml:space="preserve">The homepage, Desktop and Mobile modes</t>
  </si>
  <si>
    <t xml:space="preserve">All 3 category scores meet the minimum threshold agreed for the project (e.g. &gt;= 80/100 each), with no critical issues.</t>
  </si>
  <si>
    <t xml:space="preserve">Mandatory requirement per SRS section 1.9.5 - Quality Assessment.</t>
  </si>
  <si>
    <t xml:space="preserve">TC_QA_12</t>
  </si>
  <si>
    <t xml:space="preserve">First Contentful Paint load time is within an acceptable threshold</t>
  </si>
  <si>
    <t xml:space="preserve">Check that the homepage's First Contentful Paint (FCP) time is within an acceptable threshold when simulating a 4G network.</t>
  </si>
  <si>
    <t xml:space="preserve">1. DevTools &gt; Network &gt; Throttling "Fast 3G"/"4G"
2. Reload the homepage, measure the FCP time via the Performance/Lighthouse tab</t>
  </si>
  <si>
    <t xml:space="preserve">Network condition: simulated 4G</t>
  </si>
  <si>
    <t xml:space="preserve">The FCP time falls within the threshold agreed for the project (e.g. under 3 seconds), not abnormally high.</t>
  </si>
  <si>
    <t xml:space="preserve">TC_QA_13</t>
  </si>
  <si>
    <t xml:space="preserve">The application remains stable when many tabs/simulated clients are open at once</t>
  </si>
  <si>
    <t xml:space="preserve">Check that the application remains stable when many browser tabs are opened simultaneously to simulate multiple concurrent users.</t>
  </si>
  <si>
    <t xml:space="preserve">1. Open 5 browser tabs simultaneously, all accessing the app
2. In each tab, perform a different action (browse categories, add to cart, open chatbot)
3. Observe the overall performance of the machine/browser</t>
  </si>
  <si>
    <t xml:space="preserve">5 browser tabs opened simultaneously</t>
  </si>
  <si>
    <t xml:space="preserve">The application responds stably in all 5 tabs, with no tab freezing/crashing, and no serious performance degradation.</t>
  </si>
  <si>
    <t xml:space="preserve">Client-side capacity testing per SRS section 1.7.</t>
  </si>
  <si>
    <t xml:space="preserve">TC_QA_14</t>
  </si>
  <si>
    <t xml:space="preserve">No serious console errors occur during the main flow</t>
  </si>
  <si>
    <t xml:space="preserve">Check that no serious JavaScript errors appear in the console while performing the full set of main action flows.</t>
  </si>
  <si>
    <t xml:space="preserve">1. Open DevTools &gt; Console
2. Perform in turn: view the homepage, filter/sort a Category Hub, add to cart, open the chatbot, bookmark content
3. Observe the console throughout</t>
  </si>
  <si>
    <t xml:space="preserve">The application's full set of main action flows</t>
  </si>
  <si>
    <t xml:space="preserve">No serious red error appears in the console at any step; warnings, if any, do not affect functionality.</t>
  </si>
  <si>
    <t xml:space="preserve">TC_QA_15</t>
  </si>
  <si>
    <t xml:space="preserve">The application does not load/execute an unexpected foreign file</t>
  </si>
  <si>
    <t xml:space="preserve">Check that the application does not automatically download or execute any file without a clear action from the user.</t>
  </si>
  <si>
    <t xml:space="preserve">1. Visit and browse through all the main pages for 5 minutes
2. Observe the browser's Downloads folder and any security warnings (if any)</t>
  </si>
  <si>
    <t xml:space="preserve">5 minutes of normal browsing</t>
  </si>
  <si>
    <t xml:space="preserve">No file is automatically downloaded or executed without a deliberate action by the user (e.g. clicking an Export button).</t>
  </si>
  <si>
    <t xml:space="preserve">Testing the Safety requirement per SRS section 1.7.</t>
  </si>
  <si>
    <t xml:space="preserve">TC_QA_16</t>
  </si>
  <si>
    <t xml:space="preserve">The application remains stable when accessed continuously outside office hours (simulating 24/7)</t>
  </si>
  <si>
    <t xml:space="preserve">Check that the application works stably when accessed at different times of day, simulating the client-side 24/7 availability requirement.</t>
  </si>
  <si>
    <t xml:space="preserve">1. Access the application at different times of day (early morning, noon, late evening) if testing can be scheduled
2. On each access, check that the application loads and works normally</t>
  </si>
  <si>
    <t xml:space="preserve">Access at multiple different times of day</t>
  </si>
  <si>
    <t xml:space="preserve">The application loads and works stably at every time checked, with no functional differences (due to the client-side architecture, which does not depend on server operating hours).</t>
  </si>
  <si>
    <t xml:space="preserve">TC_QA_17</t>
  </si>
  <si>
    <t xml:space="preserve">The layout does not break badly when the browser is zoomed 50%-200%</t>
  </si>
  <si>
    <t xml:space="preserve">Check that the overall layout remains usable when the user zooms the browser in/out at different levels.</t>
  </si>
  <si>
    <t xml:space="preserve">1. Go to the homepage, set the browser zoom to 50%
2. Observe the layout, then gradually increase to 100%, 150%, 200%
3. Note any locations with serious layout breakage (if any)</t>
  </si>
  <si>
    <t xml:space="preserve">Zoom levels: 50%, 100%, 150%, 200%</t>
  </si>
  <si>
    <t xml:space="preserve">At reasonable zoom levels (75%-150%), the layout does not break badly; at extreme zoom levels (50%, 200%), content is still readable and the main functions remain usable.</t>
  </si>
  <si>
    <t xml:space="preserve">UI TEST RESULTS SUMMARY - FANDOMVERSE</t>
  </si>
  <si>
    <t xml:space="preserve">Metric</t>
  </si>
  <si>
    <t xml:space="preserve">Count</t>
  </si>
  <si>
    <t xml:space="preserve">Total Test Cases</t>
  </si>
  <si>
    <t xml:space="preserve">Number of Pass</t>
  </si>
  <si>
    <t xml:space="preserve">Number of Fail</t>
  </si>
  <si>
    <t xml:space="preserve">Number of Blocked</t>
  </si>
  <si>
    <t xml:space="preserve">Number of Untested</t>
  </si>
  <si>
    <t xml:space="preserve">Date updated</t>
  </si>
  <si>
    <t xml:space="preserve">23/09/2026</t>
  </si>
  <si>
    <t xml:space="preserve">Breakdown by module</t>
  </si>
  <si>
    <t xml:space="preserve">Module</t>
  </si>
  <si>
    <t xml:space="preserve">No. of TC</t>
  </si>
  <si>
    <t xml:space="preserve">A. HOME PAGE</t>
  </si>
  <si>
    <t xml:space="preserve">B. FANDOM CATEGORY (CATEGORY HUB)</t>
  </si>
  <si>
    <t xml:space="preserve">C. GLOBAL SEARCH</t>
  </si>
  <si>
    <t xml:space="preserve">D. IMAGE GALLERY / LIGHTBOX</t>
  </si>
  <si>
    <t xml:space="preserve">E. VIDEO &amp; AUDIO</t>
  </si>
  <si>
    <t xml:space="preserve">F. FEATURED ARTICLES</t>
  </si>
  <si>
    <t xml:space="preserve">G. CHARACTER PROFILES</t>
  </si>
  <si>
    <t xml:space="preserve">H. EVENT HIGHLIGHTS</t>
  </si>
  <si>
    <t xml:space="preserve">I. TRAILER</t>
  </si>
  <si>
    <t xml:space="preserve">J. MERCHANDISE &amp; CART</t>
  </si>
  <si>
    <t xml:space="preserve">K. AI CHATBOT</t>
  </si>
  <si>
    <t xml:space="preserve">L. BOOKMARK &amp; NOTES</t>
  </si>
  <si>
    <t xml:space="preserve">M. ADDITIONAL FEATURES (VISITOR COUNTER, CLOCK, BREADCRUMB, DUMMY LOGIN, STATIC PAGES)</t>
  </si>
  <si>
    <t xml:space="preserve">N. COMPATIBILITY, PERFORMANCE &amp; ACCESSIBILITY</t>
  </si>
  <si>
    <t xml:space="preserve">Breakdown by Priority</t>
  </si>
  <si>
    <t xml:space="preserve">USER GUIDE FOR THE UI TEST CASE FILE - FANDOMVERSE PROJECT</t>
  </si>
  <si>
    <t xml:space="preserve">0. Scope of this test case set:</t>
  </si>
  <si>
    <t xml:space="preserve">- All test cases in this file test only through the UI (web browser / mobile browser), in line with FandomVerse's architecture as a client-side Single Page Application (SPA) with no backend/database.</t>
  </si>
  <si>
    <t xml:space="preserve">- NOT included: detailed JavaScript source code testing (unit tests), verifying the correctness of static JSON data at the editorial-content level, or tools outside the browser/real device.</t>
  </si>
  <si>
    <t xml:space="preserve">- The static JSON files (contents.json, characters.json, events.json, trailers.json, merchandise.json, chatbot_faq.json) are treated as pre-existing input data; some test cases require preparing a separate test record in the Staging environment (noted clearly in the Notes column).</t>
  </si>
  <si>
    <t xml:space="preserve">1. The file structure has 3 sheets:</t>
  </si>
  <si>
    <t xml:space="preserve">- Test Cases: 200 detailed test cases, divided into 14 functional groups following the FandomVerse SRS v2.0 (Home, Category Hub, Search, Gallery, Video/Audio, Articles, Characters, Events, Trailer, Merchandise/Cart, AI Chatbot, Bookmark/Notes, Additional Features, Compatibility-Performance-Accessibility).</t>
  </si>
  <si>
    <t xml:space="preserve">- Summary: A quick statistical count of Pass/Fail/Blocked/Untested and the breakdown by module and priority (calculated automatically via formulas).</t>
  </si>
  <si>
    <t xml:space="preserve">- Guide: A page describing how to use this file.</t>
  </si>
  <si>
    <t xml:space="preserve">2. Explanation of the columns in the Test Cases sheet:</t>
  </si>
  <si>
    <t xml:space="preserve">- No.: The sequence number of the test case within each functional group.</t>
  </si>
  <si>
    <t xml:space="preserve">- ID/Test Code: A unique identifier following the TC_&lt;Module&gt;_&lt;Number&gt; convention (e.g. TC_HOME_01, TC_CAT_01, TC_MERCH_01).</t>
  </si>
  <si>
    <t xml:space="preserve">- Test Name: A short summary of the test case's objective.</t>
  </si>
  <si>
    <t xml:space="preserve">- Test Description: A detailed explanation of what the test case is checking and why it is needed.</t>
  </si>
  <si>
    <t xml:space="preserve">- Test Environment: The browser/device and URL of the screen being tested (UI only).</t>
  </si>
  <si>
    <t xml:space="preserve">- Test Steps: The detailed, sequential UI actions to perform the test case.</t>
  </si>
  <si>
    <t xml:space="preserve">- Test Data: The specific input data, which may include several variants/sub-cases (data-driven) used during testing.</t>
  </si>
  <si>
    <t xml:space="preserve">- Expected Result: The result the UI must show if it works correctly, written as a bullet point for each criterion.</t>
  </si>
  <si>
    <t xml:space="preserve">- Actual Result: To be filled in AFTER executing the test, recording the actual observed result.</t>
  </si>
  <si>
    <t xml:space="preserve">- Evaluation: Choose 1 of 4 values from the dropdown: Pass / Fail / Blocked / Untested.</t>
  </si>
  <si>
    <t xml:space="preserve">- Priority: Choose 1 of 3 values from the dropdown: Critical / Major / Minor.</t>
  </si>
  <si>
    <t xml:space="preserve">- Tester: The name of the Tester who executed the test case.</t>
  </si>
  <si>
    <t xml:space="preserve">- Date Executed: The date the test case was executed (format dd/mm/yyyy).</t>
  </si>
  <si>
    <t xml:space="preserve">- Notes: Additional information, bug links, special conditions, notes needing further confirmation with the BA/Dev (e.g. a feature only applies if implemented in the system).</t>
  </si>
  <si>
    <t xml:space="preserve">3. Result evaluation conventions:</t>
  </si>
  <si>
    <t xml:space="preserve">- Pass: The actual result fully matches the Expected Result.</t>
  </si>
  <si>
    <t xml:space="preserve">- Fail: The actual result differs from the Expected Result; a bug must be created/linked in the Notes column.</t>
  </si>
  <si>
    <t xml:space="preserve">- Blocked: The test case cannot be executed because it depends on another test case that has not Passed yet, or the environment/feature is not ready.</t>
  </si>
  <si>
    <t xml:space="preserve">- Untested: The test case has not been executed yet.</t>
  </si>
  <si>
    <t xml:space="preserve">4. Recommended execution process:</t>
  </si>
  <si>
    <t xml:space="preserve">- Run the Critical test cases first (especially Happy path cases noted "run first") to ensure the main flow works before testing details/edge cases.</t>
  </si>
  <si>
    <t xml:space="preserve">- For test cases noted "Only applies if...", the Tester should confirm with the BA/Dev whether the feature is implemented in the build under test before marking it Fail.</t>
  </si>
  <si>
    <t xml:space="preserve">- For test cases involving LocalStorage/SessionStorage (Cart, Bookmark, Notes), it is recommended to clear browser data (clear storage) before starting a new test round, to ensure results are not affected by old data.</t>
  </si>
  <si>
    <t xml:space="preserve">- Update the Summary sheet (press F9 to recalculate) after each execution round to get the latest statistics.</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</si>
</sst>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10"/>
      <color rgb="FF595959"/>
      <name val="Arial"/>
      <family val="0"/>
      <charset val="1"/>
    </font>
    <font>
      <b val="true"/>
      <sz val="11"/>
      <color rgb="FF1F4E78"/>
      <name val="Arial"/>
      <family val="0"/>
      <charset val="1"/>
    </font>
    <font>
      <b val="true"/>
      <sz val="10"/>
      <color rgb="FFFFFFFF"/>
      <name val="Arial"/>
      <family val="0"/>
      <charset val="1"/>
    </font>
    <font>
      <sz val="10"/>
      <name val="Arial"/>
      <family val="0"/>
      <charset val="1"/>
    </font>
    <font>
      <b val="true"/>
      <sz val="14"/>
      <color rgb="FFFFFFFF"/>
      <name val="Arial"/>
      <family val="0"/>
      <charset val="1"/>
    </font>
    <font>
      <b val="true"/>
      <sz val="10"/>
      <name val="Arial"/>
      <family val="0"/>
      <charset val="1"/>
    </font>
    <font>
      <b val="true"/>
      <sz val="16"/>
      <color rgb="FFFFFFFF"/>
      <name val="Calibri"/>
      <family val="0"/>
      <charset val="1"/>
    </font>
    <font>
      <b val="true"/>
      <sz val="13"/>
      <color rgb="FF1F4E78"/>
      <name val="Calibri"/>
      <family val="0"/>
      <charset val="1"/>
    </font>
  </fonts>
  <fills count="6">
    <fill>
      <patternFill patternType="none"/>
    </fill>
    <fill>
      <patternFill patternType="gray125"/>
    </fill>
    <fill>
      <patternFill patternType="solid">
        <fgColor rgb="FF1F4E78"/>
        <bgColor rgb="FF003366"/>
      </patternFill>
    </fill>
    <fill>
      <patternFill patternType="solid">
        <fgColor rgb="FFBDD7EE"/>
        <bgColor rgb="FFD9E2F3"/>
      </patternFill>
    </fill>
    <fill>
      <patternFill patternType="solid">
        <fgColor rgb="FF2E75B6"/>
        <bgColor rgb="FF0066CC"/>
      </patternFill>
    </fill>
    <fill>
      <patternFill patternType="solid">
        <fgColor rgb="FFD9EAF7"/>
        <bgColor rgb="FFD9E2F3"/>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9E2F3"/>
      </left>
      <right style="thin">
        <color rgb="FFD9E2F3"/>
      </right>
      <top style="thin">
        <color rgb="FFD9E2F3"/>
      </top>
      <bottom style="thin">
        <color rgb="FFD9E2F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11" fillId="2" borderId="2"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12" fillId="5" borderId="2" xfId="0" applyFont="true" applyBorder="true" applyAlignment="true" applyProtection="false">
      <alignment horizontal="left" vertical="center" textRotation="0" wrapText="true" indent="0" shrinkToFit="false"/>
      <protection locked="true" hidden="false"/>
    </xf>
    <xf numFmtId="164" fontId="8" fillId="0"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9EA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9E2F3"/>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44"/>
  <sheetViews>
    <sheetView showFormulas="false" showGridLines="true" showRowColHeaders="true" showZeros="true" rightToLeft="false" tabSelected="true" showOutlineSymbols="true" defaultGridColor="true" view="normal" topLeftCell="A1" colorId="64" zoomScale="74" zoomScaleNormal="74" zoomScalePageLayoutView="100" workbookViewId="0">
      <pane xSplit="2" ySplit="5" topLeftCell="E6" activePane="bottomRight" state="frozen"/>
      <selection pane="topLeft" activeCell="A1" activeCellId="0" sqref="A1"/>
      <selection pane="topRight" activeCell="E1" activeCellId="0" sqref="E1"/>
      <selection pane="bottomLeft" activeCell="A6" activeCellId="0" sqref="A6"/>
      <selection pane="bottomRight" activeCell="G7" activeCellId="0" sqref="G7"/>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30"/>
    <col collapsed="false" customWidth="true" hidden="false" outlineLevel="0" max="4" min="4" style="0" width="34"/>
    <col collapsed="false" customWidth="true" hidden="false" outlineLevel="0" max="5" min="5" style="0" width="26"/>
    <col collapsed="false" customWidth="true" hidden="false" outlineLevel="0" max="6" min="6" style="0" width="44"/>
    <col collapsed="false" customWidth="true" hidden="false" outlineLevel="0" max="7" min="7" style="0" width="30"/>
    <col collapsed="false" customWidth="true" hidden="false" outlineLevel="0" max="8" min="8" style="0" width="44"/>
    <col collapsed="false" customWidth="true" hidden="false" outlineLevel="0" max="9" min="9" style="0" width="20"/>
    <col collapsed="false" customWidth="true" hidden="false" outlineLevel="0" max="10" min="10" style="0" width="12"/>
    <col collapsed="false" customWidth="true" hidden="false" outlineLevel="0" max="11" min="11" style="0" width="14"/>
    <col collapsed="false" customWidth="true" hidden="false" outlineLevel="0" max="12" min="12" style="0" width="16"/>
    <col collapsed="false" customWidth="true" hidden="false" outlineLevel="0" max="13" min="13" style="0" width="14"/>
    <col collapsed="false" customWidth="true" hidden="false" outlineLevel="0" max="14" min="14" style="0" width="26"/>
  </cols>
  <sheetData>
    <row r="1" customFormat="false" ht="30" hidden="false" customHeight="true" outlineLevel="0" collapsed="false">
      <c r="A1" s="1" t="s">
        <v>0</v>
      </c>
      <c r="B1" s="1"/>
      <c r="C1" s="1"/>
      <c r="D1" s="1"/>
      <c r="E1" s="1"/>
      <c r="F1" s="1"/>
      <c r="G1" s="1"/>
      <c r="H1" s="1"/>
      <c r="I1" s="1"/>
      <c r="J1" s="1"/>
      <c r="K1" s="1"/>
      <c r="L1" s="1"/>
      <c r="M1" s="1"/>
      <c r="N1" s="1"/>
    </row>
    <row r="2" customFormat="false" ht="30" hidden="false" customHeight="true" outlineLevel="0" collapsed="false">
      <c r="A2" s="2" t="s">
        <v>1</v>
      </c>
      <c r="B2" s="2"/>
      <c r="C2" s="2"/>
      <c r="D2" s="2"/>
      <c r="E2" s="2"/>
      <c r="F2" s="2"/>
      <c r="G2" s="2"/>
      <c r="H2" s="2"/>
      <c r="I2" s="2"/>
      <c r="J2" s="2"/>
      <c r="K2" s="2"/>
      <c r="L2" s="2"/>
      <c r="M2" s="2"/>
      <c r="N2" s="2"/>
    </row>
    <row r="3" customFormat="false" ht="6" hidden="false" customHeight="true" outlineLevel="0" collapsed="false">
      <c r="A3" s="3"/>
      <c r="B3" s="3"/>
      <c r="C3" s="3"/>
      <c r="D3" s="3"/>
      <c r="E3" s="3"/>
      <c r="F3" s="3"/>
      <c r="G3" s="3"/>
      <c r="H3" s="3"/>
      <c r="I3" s="3"/>
      <c r="J3" s="3"/>
      <c r="K3" s="3"/>
      <c r="L3" s="3"/>
      <c r="M3" s="3"/>
      <c r="N3" s="3"/>
    </row>
    <row r="4" customFormat="false" ht="19.5" hidden="false" customHeight="true" outlineLevel="0" collapsed="false">
      <c r="A4" s="4" t="s">
        <v>2</v>
      </c>
      <c r="B4" s="4"/>
      <c r="C4" s="4"/>
      <c r="D4" s="4"/>
      <c r="E4" s="4"/>
      <c r="F4" s="4"/>
      <c r="G4" s="4"/>
      <c r="H4" s="4"/>
      <c r="I4" s="4"/>
      <c r="J4" s="4"/>
      <c r="K4" s="4"/>
      <c r="L4" s="4"/>
      <c r="M4" s="4"/>
      <c r="N4" s="4"/>
    </row>
    <row r="5" customFormat="false" ht="21.75" hidden="false" customHeight="true" outlineLevel="0" collapsed="false">
      <c r="A5" s="5" t="s">
        <v>3</v>
      </c>
      <c r="B5" s="5" t="s">
        <v>4</v>
      </c>
      <c r="C5" s="5" t="s">
        <v>5</v>
      </c>
      <c r="D5" s="5" t="s">
        <v>6</v>
      </c>
      <c r="E5" s="5" t="s">
        <v>7</v>
      </c>
      <c r="F5" s="5" t="s">
        <v>8</v>
      </c>
      <c r="G5" s="5" t="s">
        <v>9</v>
      </c>
      <c r="H5" s="5" t="s">
        <v>10</v>
      </c>
      <c r="I5" s="5" t="s">
        <v>11</v>
      </c>
      <c r="J5" s="5" t="s">
        <v>12</v>
      </c>
      <c r="K5" s="5" t="s">
        <v>13</v>
      </c>
      <c r="L5" s="5" t="s">
        <v>14</v>
      </c>
      <c r="M5" s="5" t="s">
        <v>15</v>
      </c>
      <c r="N5" s="5" t="s">
        <v>16</v>
      </c>
    </row>
    <row r="6" customFormat="false" ht="90" hidden="false" customHeight="true" outlineLevel="0" collapsed="false">
      <c r="A6" s="6" t="n">
        <v>1</v>
      </c>
      <c r="B6" s="6" t="s">
        <v>17</v>
      </c>
      <c r="C6" s="6" t="s">
        <v>18</v>
      </c>
      <c r="D6" s="6" t="s">
        <v>19</v>
      </c>
      <c r="E6" s="6" t="s">
        <v>20</v>
      </c>
      <c r="F6" s="6" t="s">
        <v>21</v>
      </c>
      <c r="G6" s="6" t="s">
        <v>22</v>
      </c>
      <c r="H6" s="6" t="str">
        <f aca="false">H7</f>
        <v>The animation runs smoothly (no stutter, no flicker), repeats consistently across loads; FPS does not drop below a noticeably poor threshold (visual estimate).</v>
      </c>
      <c r="I6" s="6"/>
      <c r="J6" s="6" t="s">
        <v>23</v>
      </c>
      <c r="K6" s="6" t="s">
        <v>24</v>
      </c>
      <c r="L6" s="6"/>
      <c r="M6" s="6"/>
      <c r="N6" s="6" t="s">
        <v>25</v>
      </c>
    </row>
    <row r="7" customFormat="false" ht="90" hidden="false" customHeight="true" outlineLevel="0" collapsed="false">
      <c r="A7" s="6" t="n">
        <v>2</v>
      </c>
      <c r="B7" s="6" t="s">
        <v>26</v>
      </c>
      <c r="C7" s="6" t="s">
        <v>27</v>
      </c>
      <c r="D7" s="6" t="s">
        <v>28</v>
      </c>
      <c r="E7" s="6" t="s">
        <v>20</v>
      </c>
      <c r="F7" s="6" t="s">
        <v>29</v>
      </c>
      <c r="G7" s="6" t="s">
        <v>30</v>
      </c>
      <c r="H7" s="6" t="s">
        <v>31</v>
      </c>
      <c r="I7" s="6"/>
      <c r="J7" s="6" t="s">
        <v>23</v>
      </c>
      <c r="K7" s="6" t="s">
        <v>32</v>
      </c>
      <c r="L7" s="6"/>
      <c r="M7" s="6"/>
      <c r="N7" s="6"/>
    </row>
    <row r="8" customFormat="false" ht="90" hidden="false" customHeight="true" outlineLevel="0" collapsed="false">
      <c r="A8" s="6" t="n">
        <v>3</v>
      </c>
      <c r="B8" s="6" t="s">
        <v>33</v>
      </c>
      <c r="C8" s="6" t="s">
        <v>34</v>
      </c>
      <c r="D8" s="6" t="s">
        <v>35</v>
      </c>
      <c r="E8" s="6" t="s">
        <v>20</v>
      </c>
      <c r="F8" s="6" t="s">
        <v>36</v>
      </c>
      <c r="G8" s="6" t="s">
        <v>37</v>
      </c>
      <c r="H8" s="6" t="s">
        <v>38</v>
      </c>
      <c r="I8" s="6"/>
      <c r="J8" s="6" t="s">
        <v>23</v>
      </c>
      <c r="K8" s="6" t="s">
        <v>39</v>
      </c>
      <c r="L8" s="6"/>
      <c r="M8" s="6"/>
      <c r="N8" s="6" t="s">
        <v>40</v>
      </c>
    </row>
    <row r="9" customFormat="false" ht="90" hidden="false" customHeight="true" outlineLevel="0" collapsed="false">
      <c r="A9" s="6" t="n">
        <v>4</v>
      </c>
      <c r="B9" s="6" t="s">
        <v>41</v>
      </c>
      <c r="C9" s="6" t="s">
        <v>42</v>
      </c>
      <c r="D9" s="6" t="s">
        <v>43</v>
      </c>
      <c r="E9" s="6" t="s">
        <v>20</v>
      </c>
      <c r="F9" s="6" t="s">
        <v>44</v>
      </c>
      <c r="G9" s="6" t="s">
        <v>45</v>
      </c>
      <c r="H9" s="6" t="s">
        <v>46</v>
      </c>
      <c r="I9" s="6"/>
      <c r="J9" s="6" t="s">
        <v>23</v>
      </c>
      <c r="K9" s="6" t="s">
        <v>24</v>
      </c>
      <c r="L9" s="6"/>
      <c r="M9" s="6"/>
      <c r="N9" s="6" t="s">
        <v>47</v>
      </c>
    </row>
    <row r="10" customFormat="false" ht="90" hidden="false" customHeight="true" outlineLevel="0" collapsed="false">
      <c r="A10" s="6" t="n">
        <v>5</v>
      </c>
      <c r="B10" s="6" t="s">
        <v>48</v>
      </c>
      <c r="C10" s="6" t="s">
        <v>49</v>
      </c>
      <c r="D10" s="6" t="s">
        <v>50</v>
      </c>
      <c r="E10" s="6" t="s">
        <v>20</v>
      </c>
      <c r="F10" s="6" t="s">
        <v>51</v>
      </c>
      <c r="G10" s="6" t="s">
        <v>30</v>
      </c>
      <c r="H10" s="6" t="s">
        <v>52</v>
      </c>
      <c r="I10" s="6"/>
      <c r="J10" s="6" t="s">
        <v>53</v>
      </c>
      <c r="K10" s="6" t="s">
        <v>32</v>
      </c>
      <c r="L10" s="6"/>
      <c r="M10" s="6"/>
      <c r="N10" s="6" t="s">
        <v>54</v>
      </c>
    </row>
    <row r="11" customFormat="false" ht="90" hidden="false" customHeight="true" outlineLevel="0" collapsed="false">
      <c r="A11" s="6" t="n">
        <v>6</v>
      </c>
      <c r="B11" s="6" t="s">
        <v>55</v>
      </c>
      <c r="C11" s="6" t="s">
        <v>56</v>
      </c>
      <c r="D11" s="6" t="s">
        <v>57</v>
      </c>
      <c r="E11" s="6" t="s">
        <v>20</v>
      </c>
      <c r="F11" s="6" t="s">
        <v>58</v>
      </c>
      <c r="G11" s="6" t="s">
        <v>30</v>
      </c>
      <c r="H11" s="6" t="s">
        <v>59</v>
      </c>
      <c r="I11" s="6"/>
      <c r="J11" s="6" t="s">
        <v>53</v>
      </c>
      <c r="K11" s="6" t="s">
        <v>32</v>
      </c>
      <c r="L11" s="6"/>
      <c r="M11" s="6"/>
      <c r="N11" s="6" t="s">
        <v>60</v>
      </c>
    </row>
    <row r="12" customFormat="false" ht="90" hidden="false" customHeight="true" outlineLevel="0" collapsed="false">
      <c r="A12" s="6" t="n">
        <v>7</v>
      </c>
      <c r="B12" s="6" t="s">
        <v>61</v>
      </c>
      <c r="C12" s="6" t="s">
        <v>62</v>
      </c>
      <c r="D12" s="6" t="s">
        <v>63</v>
      </c>
      <c r="E12" s="6" t="s">
        <v>20</v>
      </c>
      <c r="F12" s="6" t="s">
        <v>64</v>
      </c>
      <c r="G12" s="6" t="s">
        <v>65</v>
      </c>
      <c r="H12" s="6" t="s">
        <v>66</v>
      </c>
      <c r="I12" s="6"/>
      <c r="J12" s="6" t="s">
        <v>53</v>
      </c>
      <c r="K12" s="6" t="s">
        <v>39</v>
      </c>
      <c r="L12" s="6"/>
      <c r="M12" s="6"/>
      <c r="N12" s="6"/>
    </row>
    <row r="13" customFormat="false" ht="90" hidden="false" customHeight="true" outlineLevel="0" collapsed="false">
      <c r="A13" s="6" t="n">
        <v>8</v>
      </c>
      <c r="B13" s="6" t="s">
        <v>67</v>
      </c>
      <c r="C13" s="6" t="s">
        <v>68</v>
      </c>
      <c r="D13" s="6" t="s">
        <v>69</v>
      </c>
      <c r="E13" s="6" t="s">
        <v>20</v>
      </c>
      <c r="F13" s="6" t="s">
        <v>70</v>
      </c>
      <c r="G13" s="6" t="s">
        <v>30</v>
      </c>
      <c r="H13" s="6" t="s">
        <v>71</v>
      </c>
      <c r="I13" s="6"/>
      <c r="J13" s="6" t="s">
        <v>23</v>
      </c>
      <c r="K13" s="6" t="s">
        <v>32</v>
      </c>
      <c r="L13" s="6"/>
      <c r="M13" s="6"/>
      <c r="N13" s="6"/>
    </row>
    <row r="14" customFormat="false" ht="90" hidden="false" customHeight="true" outlineLevel="0" collapsed="false">
      <c r="A14" s="6" t="n">
        <v>9</v>
      </c>
      <c r="B14" s="6" t="s">
        <v>72</v>
      </c>
      <c r="C14" s="6" t="s">
        <v>73</v>
      </c>
      <c r="D14" s="6" t="s">
        <v>74</v>
      </c>
      <c r="E14" s="6" t="s">
        <v>20</v>
      </c>
      <c r="F14" s="6" t="s">
        <v>75</v>
      </c>
      <c r="G14" s="6" t="s">
        <v>30</v>
      </c>
      <c r="H14" s="6" t="s">
        <v>76</v>
      </c>
      <c r="I14" s="6"/>
      <c r="J14" s="6" t="s">
        <v>23</v>
      </c>
      <c r="K14" s="6" t="s">
        <v>39</v>
      </c>
      <c r="L14" s="6"/>
      <c r="M14" s="6"/>
      <c r="N14" s="6"/>
    </row>
    <row r="15" customFormat="false" ht="90" hidden="false" customHeight="true" outlineLevel="0" collapsed="false">
      <c r="A15" s="6" t="n">
        <v>10</v>
      </c>
      <c r="B15" s="6" t="s">
        <v>77</v>
      </c>
      <c r="C15" s="6" t="s">
        <v>78</v>
      </c>
      <c r="D15" s="6" t="s">
        <v>79</v>
      </c>
      <c r="E15" s="6" t="s">
        <v>20</v>
      </c>
      <c r="F15" s="6" t="s">
        <v>80</v>
      </c>
      <c r="G15" s="6" t="s">
        <v>81</v>
      </c>
      <c r="H15" s="6" t="s">
        <v>82</v>
      </c>
      <c r="I15" s="6"/>
      <c r="J15" s="6" t="s">
        <v>23</v>
      </c>
      <c r="K15" s="6" t="s">
        <v>32</v>
      </c>
      <c r="L15" s="6"/>
      <c r="M15" s="6"/>
      <c r="N15" s="6" t="s">
        <v>83</v>
      </c>
    </row>
    <row r="16" customFormat="false" ht="90" hidden="false" customHeight="true" outlineLevel="0" collapsed="false">
      <c r="A16" s="6" t="n">
        <v>11</v>
      </c>
      <c r="B16" s="6" t="s">
        <v>84</v>
      </c>
      <c r="C16" s="6" t="s">
        <v>85</v>
      </c>
      <c r="D16" s="6" t="s">
        <v>86</v>
      </c>
      <c r="E16" s="6" t="s">
        <v>20</v>
      </c>
      <c r="F16" s="6" t="s">
        <v>87</v>
      </c>
      <c r="G16" s="6" t="s">
        <v>88</v>
      </c>
      <c r="H16" s="6" t="s">
        <v>89</v>
      </c>
      <c r="I16" s="6"/>
      <c r="J16" s="6" t="s">
        <v>23</v>
      </c>
      <c r="K16" s="6" t="s">
        <v>39</v>
      </c>
      <c r="L16" s="6"/>
      <c r="M16" s="6"/>
      <c r="N16" s="6"/>
    </row>
    <row r="17" customFormat="false" ht="90" hidden="false" customHeight="true" outlineLevel="0" collapsed="false">
      <c r="A17" s="6"/>
      <c r="B17" s="6"/>
      <c r="C17" s="6"/>
      <c r="D17" s="6"/>
      <c r="E17" s="6"/>
      <c r="F17" s="6"/>
      <c r="G17" s="6"/>
      <c r="H17" s="6"/>
      <c r="I17" s="6"/>
      <c r="J17" s="6"/>
      <c r="K17" s="6"/>
      <c r="L17" s="6"/>
      <c r="M17" s="6"/>
      <c r="N17" s="6"/>
    </row>
    <row r="19" customFormat="false" ht="19.5" hidden="false" customHeight="true" outlineLevel="0" collapsed="false">
      <c r="A19" s="4" t="s">
        <v>90</v>
      </c>
      <c r="B19" s="4"/>
      <c r="C19" s="4"/>
      <c r="D19" s="4"/>
      <c r="E19" s="4"/>
      <c r="F19" s="4"/>
      <c r="G19" s="4"/>
      <c r="H19" s="4"/>
      <c r="I19" s="4"/>
      <c r="J19" s="4"/>
      <c r="K19" s="4"/>
      <c r="L19" s="4"/>
      <c r="M19" s="4"/>
      <c r="N19" s="4"/>
    </row>
    <row r="20" customFormat="false" ht="21.75" hidden="false" customHeight="true" outlineLevel="0" collapsed="false">
      <c r="A20" s="5" t="s">
        <v>3</v>
      </c>
      <c r="B20" s="5" t="s">
        <v>4</v>
      </c>
      <c r="C20" s="5" t="s">
        <v>5</v>
      </c>
      <c r="D20" s="5" t="s">
        <v>6</v>
      </c>
      <c r="E20" s="5" t="s">
        <v>7</v>
      </c>
      <c r="F20" s="5" t="s">
        <v>8</v>
      </c>
      <c r="G20" s="5" t="s">
        <v>9</v>
      </c>
      <c r="H20" s="5" t="s">
        <v>10</v>
      </c>
      <c r="I20" s="5" t="s">
        <v>11</v>
      </c>
      <c r="J20" s="5" t="s">
        <v>12</v>
      </c>
      <c r="K20" s="5" t="s">
        <v>13</v>
      </c>
      <c r="L20" s="5" t="s">
        <v>14</v>
      </c>
      <c r="M20" s="5" t="s">
        <v>15</v>
      </c>
      <c r="N20" s="5" t="s">
        <v>16</v>
      </c>
    </row>
    <row r="21" customFormat="false" ht="90" hidden="false" customHeight="true" outlineLevel="0" collapsed="false">
      <c r="A21" s="6" t="n">
        <v>1</v>
      </c>
      <c r="B21" s="6" t="s">
        <v>91</v>
      </c>
      <c r="C21" s="6" t="s">
        <v>92</v>
      </c>
      <c r="D21" s="6" t="s">
        <v>93</v>
      </c>
      <c r="E21" s="6" t="s">
        <v>94</v>
      </c>
      <c r="F21" s="6" t="s">
        <v>95</v>
      </c>
      <c r="G21" s="6" t="s">
        <v>96</v>
      </c>
      <c r="H21" s="6" t="s">
        <v>97</v>
      </c>
      <c r="I21" s="6"/>
      <c r="J21" s="6" t="s">
        <v>23</v>
      </c>
      <c r="K21" s="6" t="s">
        <v>24</v>
      </c>
      <c r="L21" s="6"/>
      <c r="M21" s="6"/>
      <c r="N21" s="6" t="s">
        <v>98</v>
      </c>
    </row>
    <row r="22" customFormat="false" ht="90" hidden="false" customHeight="true" outlineLevel="0" collapsed="false">
      <c r="A22" s="6" t="n">
        <v>2</v>
      </c>
      <c r="B22" s="6" t="s">
        <v>99</v>
      </c>
      <c r="C22" s="6" t="s">
        <v>100</v>
      </c>
      <c r="D22" s="6" t="s">
        <v>101</v>
      </c>
      <c r="E22" s="6" t="s">
        <v>94</v>
      </c>
      <c r="F22" s="6" t="s">
        <v>102</v>
      </c>
      <c r="G22" s="6" t="s">
        <v>103</v>
      </c>
      <c r="H22" s="6" t="s">
        <v>104</v>
      </c>
      <c r="I22" s="6"/>
      <c r="J22" s="6" t="s">
        <v>23</v>
      </c>
      <c r="K22" s="6" t="s">
        <v>39</v>
      </c>
      <c r="L22" s="6"/>
      <c r="M22" s="6"/>
      <c r="N22" s="6"/>
    </row>
    <row r="23" customFormat="false" ht="90" hidden="false" customHeight="true" outlineLevel="0" collapsed="false">
      <c r="A23" s="6" t="n">
        <v>3</v>
      </c>
      <c r="B23" s="6" t="s">
        <v>105</v>
      </c>
      <c r="C23" s="6" t="s">
        <v>106</v>
      </c>
      <c r="D23" s="6" t="s">
        <v>107</v>
      </c>
      <c r="E23" s="6" t="s">
        <v>94</v>
      </c>
      <c r="F23" s="6" t="s">
        <v>108</v>
      </c>
      <c r="G23" s="6" t="s">
        <v>45</v>
      </c>
      <c r="H23" s="6" t="s">
        <v>109</v>
      </c>
      <c r="I23" s="6"/>
      <c r="J23" s="6" t="s">
        <v>23</v>
      </c>
      <c r="K23" s="6" t="s">
        <v>24</v>
      </c>
      <c r="L23" s="6"/>
      <c r="M23" s="6"/>
      <c r="N23" s="6" t="s">
        <v>110</v>
      </c>
    </row>
    <row r="24" customFormat="false" ht="90" hidden="false" customHeight="true" outlineLevel="0" collapsed="false">
      <c r="A24" s="6" t="n">
        <v>4</v>
      </c>
      <c r="B24" s="6" t="s">
        <v>111</v>
      </c>
      <c r="C24" s="6" t="s">
        <v>112</v>
      </c>
      <c r="D24" s="6" t="s">
        <v>113</v>
      </c>
      <c r="E24" s="6" t="s">
        <v>94</v>
      </c>
      <c r="F24" s="6" t="s">
        <v>114</v>
      </c>
      <c r="G24" s="6" t="s">
        <v>115</v>
      </c>
      <c r="H24" s="6" t="s">
        <v>116</v>
      </c>
      <c r="I24" s="6"/>
      <c r="J24" s="6" t="s">
        <v>23</v>
      </c>
      <c r="K24" s="6" t="s">
        <v>39</v>
      </c>
      <c r="L24" s="6"/>
      <c r="M24" s="6"/>
      <c r="N24" s="6" t="s">
        <v>117</v>
      </c>
    </row>
    <row r="25" customFormat="false" ht="90" hidden="false" customHeight="true" outlineLevel="0" collapsed="false">
      <c r="A25" s="6" t="n">
        <v>5</v>
      </c>
      <c r="B25" s="6" t="s">
        <v>118</v>
      </c>
      <c r="C25" s="6" t="s">
        <v>119</v>
      </c>
      <c r="D25" s="6" t="s">
        <v>120</v>
      </c>
      <c r="E25" s="6" t="s">
        <v>94</v>
      </c>
      <c r="F25" s="6" t="s">
        <v>121</v>
      </c>
      <c r="G25" s="6" t="s">
        <v>122</v>
      </c>
      <c r="H25" s="6" t="s">
        <v>123</v>
      </c>
      <c r="I25" s="6"/>
      <c r="J25" s="6" t="s">
        <v>23</v>
      </c>
      <c r="K25" s="6" t="s">
        <v>32</v>
      </c>
      <c r="L25" s="6"/>
      <c r="M25" s="6"/>
      <c r="N25" s="6"/>
    </row>
    <row r="26" customFormat="false" ht="90" hidden="false" customHeight="true" outlineLevel="0" collapsed="false">
      <c r="A26" s="6" t="n">
        <v>6</v>
      </c>
      <c r="B26" s="6" t="s">
        <v>124</v>
      </c>
      <c r="C26" s="6" t="s">
        <v>125</v>
      </c>
      <c r="D26" s="6" t="s">
        <v>126</v>
      </c>
      <c r="E26" s="6" t="s">
        <v>94</v>
      </c>
      <c r="F26" s="6" t="s">
        <v>127</v>
      </c>
      <c r="G26" s="6" t="s">
        <v>128</v>
      </c>
      <c r="H26" s="6" t="s">
        <v>129</v>
      </c>
      <c r="I26" s="6"/>
      <c r="J26" s="6" t="s">
        <v>53</v>
      </c>
      <c r="K26" s="6" t="s">
        <v>32</v>
      </c>
      <c r="L26" s="6"/>
      <c r="M26" s="6"/>
      <c r="N26" s="6"/>
    </row>
    <row r="27" customFormat="false" ht="90" hidden="false" customHeight="true" outlineLevel="0" collapsed="false">
      <c r="A27" s="6" t="n">
        <v>7</v>
      </c>
      <c r="B27" s="6" t="s">
        <v>130</v>
      </c>
      <c r="C27" s="6" t="s">
        <v>131</v>
      </c>
      <c r="D27" s="6" t="s">
        <v>132</v>
      </c>
      <c r="E27" s="6" t="s">
        <v>94</v>
      </c>
      <c r="F27" s="6" t="s">
        <v>133</v>
      </c>
      <c r="G27" s="6" t="s">
        <v>134</v>
      </c>
      <c r="H27" s="6" t="s">
        <v>135</v>
      </c>
      <c r="I27" s="6"/>
      <c r="J27" s="6" t="s">
        <v>23</v>
      </c>
      <c r="K27" s="6" t="s">
        <v>32</v>
      </c>
      <c r="L27" s="6"/>
      <c r="M27" s="6"/>
      <c r="N27" s="6"/>
    </row>
    <row r="28" customFormat="false" ht="90" hidden="false" customHeight="true" outlineLevel="0" collapsed="false">
      <c r="A28" s="6" t="n">
        <v>8</v>
      </c>
      <c r="B28" s="6" t="s">
        <v>136</v>
      </c>
      <c r="C28" s="6" t="s">
        <v>137</v>
      </c>
      <c r="D28" s="6" t="s">
        <v>138</v>
      </c>
      <c r="E28" s="6" t="s">
        <v>94</v>
      </c>
      <c r="F28" s="6" t="s">
        <v>139</v>
      </c>
      <c r="G28" s="6" t="s">
        <v>140</v>
      </c>
      <c r="H28" s="6" t="s">
        <v>141</v>
      </c>
      <c r="I28" s="6"/>
      <c r="J28" s="6" t="s">
        <v>23</v>
      </c>
      <c r="K28" s="6" t="s">
        <v>32</v>
      </c>
      <c r="L28" s="6"/>
      <c r="M28" s="6"/>
      <c r="N28" s="6"/>
    </row>
    <row r="29" customFormat="false" ht="90" hidden="false" customHeight="true" outlineLevel="0" collapsed="false">
      <c r="A29" s="6" t="n">
        <v>9</v>
      </c>
      <c r="B29" s="6" t="s">
        <v>142</v>
      </c>
      <c r="C29" s="6" t="s">
        <v>143</v>
      </c>
      <c r="D29" s="6" t="s">
        <v>144</v>
      </c>
      <c r="E29" s="6" t="s">
        <v>94</v>
      </c>
      <c r="F29" s="6" t="s">
        <v>145</v>
      </c>
      <c r="G29" s="6" t="s">
        <v>146</v>
      </c>
      <c r="H29" s="6" t="s">
        <v>147</v>
      </c>
      <c r="I29" s="6"/>
      <c r="J29" s="6" t="s">
        <v>23</v>
      </c>
      <c r="K29" s="6" t="s">
        <v>32</v>
      </c>
      <c r="L29" s="6"/>
      <c r="M29" s="6"/>
      <c r="N29" s="6"/>
    </row>
    <row r="30" customFormat="false" ht="90" hidden="false" customHeight="true" outlineLevel="0" collapsed="false">
      <c r="A30" s="6" t="n">
        <v>10</v>
      </c>
      <c r="B30" s="6" t="s">
        <v>148</v>
      </c>
      <c r="C30" s="6" t="s">
        <v>149</v>
      </c>
      <c r="D30" s="6" t="s">
        <v>150</v>
      </c>
      <c r="E30" s="6" t="s">
        <v>94</v>
      </c>
      <c r="F30" s="6" t="s">
        <v>151</v>
      </c>
      <c r="G30" s="6" t="s">
        <v>152</v>
      </c>
      <c r="H30" s="6" t="s">
        <v>153</v>
      </c>
      <c r="I30" s="6"/>
      <c r="J30" s="6" t="s">
        <v>23</v>
      </c>
      <c r="K30" s="6" t="s">
        <v>39</v>
      </c>
      <c r="L30" s="6"/>
      <c r="M30" s="6"/>
      <c r="N30" s="6"/>
    </row>
    <row r="31" customFormat="false" ht="90" hidden="false" customHeight="true" outlineLevel="0" collapsed="false">
      <c r="A31" s="6" t="n">
        <v>11</v>
      </c>
      <c r="B31" s="6" t="s">
        <v>154</v>
      </c>
      <c r="C31" s="6" t="s">
        <v>155</v>
      </c>
      <c r="D31" s="6" t="s">
        <v>156</v>
      </c>
      <c r="E31" s="6" t="s">
        <v>94</v>
      </c>
      <c r="F31" s="6" t="s">
        <v>157</v>
      </c>
      <c r="G31" s="6" t="s">
        <v>158</v>
      </c>
      <c r="H31" s="6" t="s">
        <v>159</v>
      </c>
      <c r="I31" s="6"/>
      <c r="J31" s="6" t="s">
        <v>23</v>
      </c>
      <c r="K31" s="6" t="s">
        <v>32</v>
      </c>
      <c r="L31" s="6"/>
      <c r="M31" s="6"/>
      <c r="N31" s="6"/>
    </row>
    <row r="32" customFormat="false" ht="90" hidden="false" customHeight="true" outlineLevel="0" collapsed="false">
      <c r="A32" s="6" t="n">
        <v>12</v>
      </c>
      <c r="B32" s="6" t="s">
        <v>160</v>
      </c>
      <c r="C32" s="6" t="s">
        <v>161</v>
      </c>
      <c r="D32" s="6" t="s">
        <v>162</v>
      </c>
      <c r="E32" s="6" t="s">
        <v>94</v>
      </c>
      <c r="F32" s="6" t="s">
        <v>163</v>
      </c>
      <c r="G32" s="6" t="s">
        <v>164</v>
      </c>
      <c r="H32" s="6" t="s">
        <v>165</v>
      </c>
      <c r="I32" s="6"/>
      <c r="J32" s="6" t="s">
        <v>23</v>
      </c>
      <c r="K32" s="6" t="s">
        <v>32</v>
      </c>
      <c r="L32" s="6"/>
      <c r="M32" s="6"/>
      <c r="N32" s="6"/>
    </row>
    <row r="33" customFormat="false" ht="90" hidden="false" customHeight="true" outlineLevel="0" collapsed="false">
      <c r="A33" s="6" t="n">
        <v>13</v>
      </c>
      <c r="B33" s="6" t="s">
        <v>166</v>
      </c>
      <c r="C33" s="6" t="s">
        <v>167</v>
      </c>
      <c r="D33" s="6" t="s">
        <v>168</v>
      </c>
      <c r="E33" s="6" t="s">
        <v>94</v>
      </c>
      <c r="F33" s="6" t="s">
        <v>169</v>
      </c>
      <c r="G33" s="6" t="s">
        <v>170</v>
      </c>
      <c r="H33" s="6" t="s">
        <v>171</v>
      </c>
      <c r="I33" s="6"/>
      <c r="J33" s="6" t="s">
        <v>23</v>
      </c>
      <c r="K33" s="6" t="s">
        <v>39</v>
      </c>
      <c r="L33" s="6"/>
      <c r="M33" s="6"/>
      <c r="N33" s="6"/>
    </row>
    <row r="34" customFormat="false" ht="90" hidden="false" customHeight="true" outlineLevel="0" collapsed="false">
      <c r="A34" s="6" t="n">
        <v>14</v>
      </c>
      <c r="B34" s="6" t="s">
        <v>172</v>
      </c>
      <c r="C34" s="6" t="s">
        <v>173</v>
      </c>
      <c r="D34" s="6" t="s">
        <v>174</v>
      </c>
      <c r="E34" s="6" t="s">
        <v>94</v>
      </c>
      <c r="F34" s="6" t="s">
        <v>175</v>
      </c>
      <c r="G34" s="6" t="s">
        <v>176</v>
      </c>
      <c r="H34" s="6" t="s">
        <v>177</v>
      </c>
      <c r="I34" s="6"/>
      <c r="J34" s="6" t="s">
        <v>23</v>
      </c>
      <c r="K34" s="6" t="s">
        <v>32</v>
      </c>
      <c r="L34" s="6"/>
      <c r="M34" s="6"/>
      <c r="N34" s="6" t="s">
        <v>178</v>
      </c>
    </row>
    <row r="35" customFormat="false" ht="90" hidden="false" customHeight="true" outlineLevel="0" collapsed="false">
      <c r="A35" s="6" t="n">
        <v>15</v>
      </c>
      <c r="B35" s="6" t="s">
        <v>179</v>
      </c>
      <c r="C35" s="6" t="s">
        <v>180</v>
      </c>
      <c r="D35" s="6" t="s">
        <v>181</v>
      </c>
      <c r="E35" s="6" t="s">
        <v>94</v>
      </c>
      <c r="F35" s="6" t="s">
        <v>182</v>
      </c>
      <c r="G35" s="6" t="s">
        <v>183</v>
      </c>
      <c r="H35" s="6" t="s">
        <v>184</v>
      </c>
      <c r="I35" s="6"/>
      <c r="J35" s="6" t="s">
        <v>53</v>
      </c>
      <c r="K35" s="6" t="s">
        <v>32</v>
      </c>
      <c r="L35" s="6"/>
      <c r="M35" s="6"/>
      <c r="N35" s="6"/>
    </row>
    <row r="36" customFormat="false" ht="90" hidden="false" customHeight="true" outlineLevel="0" collapsed="false">
      <c r="A36" s="6" t="n">
        <v>16</v>
      </c>
      <c r="B36" s="6" t="s">
        <v>185</v>
      </c>
      <c r="C36" s="6" t="s">
        <v>186</v>
      </c>
      <c r="D36" s="6" t="s">
        <v>187</v>
      </c>
      <c r="E36" s="6" t="s">
        <v>94</v>
      </c>
      <c r="F36" s="6" t="s">
        <v>188</v>
      </c>
      <c r="G36" s="6" t="s">
        <v>189</v>
      </c>
      <c r="H36" s="6" t="s">
        <v>190</v>
      </c>
      <c r="I36" s="6"/>
      <c r="J36" s="6" t="s">
        <v>23</v>
      </c>
      <c r="K36" s="6" t="s">
        <v>32</v>
      </c>
      <c r="L36" s="6"/>
      <c r="M36" s="6"/>
      <c r="N36" s="6"/>
    </row>
    <row r="37" customFormat="false" ht="90" hidden="false" customHeight="true" outlineLevel="0" collapsed="false">
      <c r="A37" s="6" t="n">
        <v>17</v>
      </c>
      <c r="B37" s="6" t="s">
        <v>191</v>
      </c>
      <c r="C37" s="6" t="s">
        <v>192</v>
      </c>
      <c r="D37" s="6" t="s">
        <v>193</v>
      </c>
      <c r="E37" s="6" t="s">
        <v>194</v>
      </c>
      <c r="F37" s="6" t="s">
        <v>195</v>
      </c>
      <c r="G37" s="6" t="s">
        <v>196</v>
      </c>
      <c r="H37" s="6" t="s">
        <v>197</v>
      </c>
      <c r="I37" s="6"/>
      <c r="J37" s="6" t="s">
        <v>23</v>
      </c>
      <c r="K37" s="6" t="s">
        <v>39</v>
      </c>
      <c r="L37" s="6"/>
      <c r="M37" s="6"/>
      <c r="N37" s="6"/>
    </row>
    <row r="38" customFormat="false" ht="90" hidden="false" customHeight="true" outlineLevel="0" collapsed="false">
      <c r="A38" s="6" t="n">
        <v>18</v>
      </c>
      <c r="B38" s="6" t="s">
        <v>198</v>
      </c>
      <c r="C38" s="6" t="s">
        <v>199</v>
      </c>
      <c r="D38" s="6" t="s">
        <v>200</v>
      </c>
      <c r="E38" s="6" t="s">
        <v>94</v>
      </c>
      <c r="F38" s="6" t="s">
        <v>201</v>
      </c>
      <c r="G38" s="6" t="s">
        <v>202</v>
      </c>
      <c r="H38" s="6" t="s">
        <v>203</v>
      </c>
      <c r="I38" s="6"/>
      <c r="J38" s="6" t="s">
        <v>23</v>
      </c>
      <c r="K38" s="6" t="s">
        <v>32</v>
      </c>
      <c r="L38" s="6"/>
      <c r="M38" s="6"/>
      <c r="N38" s="6" t="s">
        <v>204</v>
      </c>
    </row>
    <row r="39" customFormat="false" ht="90" hidden="false" customHeight="true" outlineLevel="0" collapsed="false">
      <c r="A39" s="6" t="n">
        <v>19</v>
      </c>
      <c r="B39" s="6" t="s">
        <v>205</v>
      </c>
      <c r="C39" s="6" t="s">
        <v>206</v>
      </c>
      <c r="D39" s="6" t="s">
        <v>207</v>
      </c>
      <c r="E39" s="6" t="s">
        <v>94</v>
      </c>
      <c r="F39" s="6" t="s">
        <v>208</v>
      </c>
      <c r="G39" s="6" t="s">
        <v>152</v>
      </c>
      <c r="H39" s="6" t="s">
        <v>209</v>
      </c>
      <c r="I39" s="6"/>
      <c r="J39" s="6" t="s">
        <v>53</v>
      </c>
      <c r="K39" s="6" t="s">
        <v>32</v>
      </c>
      <c r="L39" s="6"/>
      <c r="M39" s="6"/>
      <c r="N39" s="6"/>
    </row>
    <row r="40" customFormat="false" ht="90" hidden="false" customHeight="true" outlineLevel="0" collapsed="false">
      <c r="A40" s="6" t="n">
        <v>20</v>
      </c>
      <c r="B40" s="6" t="s">
        <v>210</v>
      </c>
      <c r="C40" s="6" t="s">
        <v>211</v>
      </c>
      <c r="D40" s="6" t="s">
        <v>212</v>
      </c>
      <c r="E40" s="6" t="s">
        <v>94</v>
      </c>
      <c r="F40" s="6" t="s">
        <v>213</v>
      </c>
      <c r="G40" s="6" t="s">
        <v>214</v>
      </c>
      <c r="H40" s="6" t="s">
        <v>215</v>
      </c>
      <c r="I40" s="6"/>
      <c r="J40" s="6" t="s">
        <v>23</v>
      </c>
      <c r="K40" s="6" t="s">
        <v>32</v>
      </c>
      <c r="L40" s="6"/>
      <c r="M40" s="6"/>
      <c r="N40" s="6" t="s">
        <v>216</v>
      </c>
    </row>
    <row r="42" customFormat="false" ht="19.5" hidden="false" customHeight="true" outlineLevel="0" collapsed="false">
      <c r="A42" s="4" t="s">
        <v>217</v>
      </c>
      <c r="B42" s="4"/>
      <c r="C42" s="4"/>
      <c r="D42" s="4"/>
      <c r="E42" s="4"/>
      <c r="F42" s="4"/>
      <c r="G42" s="4"/>
      <c r="H42" s="4"/>
      <c r="I42" s="4"/>
      <c r="J42" s="4"/>
      <c r="K42" s="4"/>
      <c r="L42" s="4"/>
      <c r="M42" s="4"/>
      <c r="N42" s="4"/>
    </row>
    <row r="43" customFormat="false" ht="21.75" hidden="false" customHeight="true" outlineLevel="0" collapsed="false">
      <c r="A43" s="5" t="s">
        <v>3</v>
      </c>
      <c r="B43" s="5" t="s">
        <v>4</v>
      </c>
      <c r="C43" s="5" t="s">
        <v>5</v>
      </c>
      <c r="D43" s="5" t="s">
        <v>6</v>
      </c>
      <c r="E43" s="5" t="s">
        <v>7</v>
      </c>
      <c r="F43" s="5" t="s">
        <v>8</v>
      </c>
      <c r="G43" s="5" t="s">
        <v>9</v>
      </c>
      <c r="H43" s="5" t="s">
        <v>10</v>
      </c>
      <c r="I43" s="5" t="s">
        <v>11</v>
      </c>
      <c r="J43" s="5" t="s">
        <v>12</v>
      </c>
      <c r="K43" s="5" t="s">
        <v>13</v>
      </c>
      <c r="L43" s="5" t="s">
        <v>14</v>
      </c>
      <c r="M43" s="5" t="s">
        <v>15</v>
      </c>
      <c r="N43" s="5" t="s">
        <v>16</v>
      </c>
    </row>
    <row r="44" customFormat="false" ht="90" hidden="false" customHeight="true" outlineLevel="0" collapsed="false">
      <c r="A44" s="6" t="n">
        <v>1</v>
      </c>
      <c r="B44" s="6" t="s">
        <v>218</v>
      </c>
      <c r="C44" s="6" t="s">
        <v>219</v>
      </c>
      <c r="D44" s="6" t="s">
        <v>220</v>
      </c>
      <c r="E44" s="6" t="s">
        <v>221</v>
      </c>
      <c r="F44" s="6" t="s">
        <v>222</v>
      </c>
      <c r="G44" s="6" t="s">
        <v>30</v>
      </c>
      <c r="H44" s="6" t="s">
        <v>223</v>
      </c>
      <c r="I44" s="6"/>
      <c r="J44" s="6" t="s">
        <v>23</v>
      </c>
      <c r="K44" s="6" t="s">
        <v>39</v>
      </c>
      <c r="L44" s="6"/>
      <c r="M44" s="6"/>
      <c r="N44" s="6"/>
    </row>
    <row r="45" customFormat="false" ht="90" hidden="false" customHeight="true" outlineLevel="0" collapsed="false">
      <c r="A45" s="6" t="n">
        <v>2</v>
      </c>
      <c r="B45" s="6" t="s">
        <v>224</v>
      </c>
      <c r="C45" s="6" t="s">
        <v>225</v>
      </c>
      <c r="D45" s="6" t="s">
        <v>226</v>
      </c>
      <c r="E45" s="6" t="s">
        <v>221</v>
      </c>
      <c r="F45" s="6" t="s">
        <v>227</v>
      </c>
      <c r="G45" s="6" t="s">
        <v>228</v>
      </c>
      <c r="H45" s="6" t="s">
        <v>229</v>
      </c>
      <c r="I45" s="6"/>
      <c r="J45" s="6" t="s">
        <v>23</v>
      </c>
      <c r="K45" s="6" t="s">
        <v>24</v>
      </c>
      <c r="L45" s="6"/>
      <c r="M45" s="6"/>
      <c r="N45" s="6" t="s">
        <v>230</v>
      </c>
    </row>
    <row r="46" customFormat="false" ht="90" hidden="false" customHeight="true" outlineLevel="0" collapsed="false">
      <c r="A46" s="6" t="n">
        <v>3</v>
      </c>
      <c r="B46" s="6" t="s">
        <v>231</v>
      </c>
      <c r="C46" s="6" t="s">
        <v>232</v>
      </c>
      <c r="D46" s="6" t="s">
        <v>233</v>
      </c>
      <c r="E46" s="6" t="s">
        <v>221</v>
      </c>
      <c r="F46" s="6" t="s">
        <v>234</v>
      </c>
      <c r="G46" s="6" t="s">
        <v>235</v>
      </c>
      <c r="H46" s="6" t="s">
        <v>236</v>
      </c>
      <c r="I46" s="6"/>
      <c r="J46" s="6" t="s">
        <v>23</v>
      </c>
      <c r="K46" s="6" t="s">
        <v>32</v>
      </c>
      <c r="L46" s="6"/>
      <c r="M46" s="6"/>
      <c r="N46" s="6"/>
    </row>
    <row r="47" customFormat="false" ht="90" hidden="false" customHeight="true" outlineLevel="0" collapsed="false">
      <c r="A47" s="6" t="n">
        <v>4</v>
      </c>
      <c r="B47" s="6" t="s">
        <v>237</v>
      </c>
      <c r="C47" s="6" t="s">
        <v>238</v>
      </c>
      <c r="D47" s="6" t="s">
        <v>239</v>
      </c>
      <c r="E47" s="6" t="s">
        <v>221</v>
      </c>
      <c r="F47" s="6" t="s">
        <v>240</v>
      </c>
      <c r="G47" s="6" t="s">
        <v>241</v>
      </c>
      <c r="H47" s="6" t="s">
        <v>242</v>
      </c>
      <c r="I47" s="6"/>
      <c r="J47" s="6" t="s">
        <v>23</v>
      </c>
      <c r="K47" s="6" t="s">
        <v>32</v>
      </c>
      <c r="L47" s="6"/>
      <c r="M47" s="6"/>
      <c r="N47" s="6"/>
    </row>
    <row r="48" customFormat="false" ht="90" hidden="false" customHeight="true" outlineLevel="0" collapsed="false">
      <c r="A48" s="6" t="n">
        <v>5</v>
      </c>
      <c r="B48" s="6" t="s">
        <v>243</v>
      </c>
      <c r="C48" s="6" t="s">
        <v>244</v>
      </c>
      <c r="D48" s="6" t="s">
        <v>245</v>
      </c>
      <c r="E48" s="6" t="s">
        <v>221</v>
      </c>
      <c r="F48" s="6" t="s">
        <v>246</v>
      </c>
      <c r="G48" s="6" t="s">
        <v>247</v>
      </c>
      <c r="H48" s="6" t="s">
        <v>248</v>
      </c>
      <c r="I48" s="6"/>
      <c r="J48" s="6" t="s">
        <v>23</v>
      </c>
      <c r="K48" s="6" t="s">
        <v>39</v>
      </c>
      <c r="L48" s="6"/>
      <c r="M48" s="6"/>
      <c r="N48" s="6"/>
    </row>
    <row r="49" customFormat="false" ht="90" hidden="false" customHeight="true" outlineLevel="0" collapsed="false">
      <c r="A49" s="6" t="n">
        <v>6</v>
      </c>
      <c r="B49" s="6" t="s">
        <v>249</v>
      </c>
      <c r="C49" s="6" t="s">
        <v>250</v>
      </c>
      <c r="D49" s="6" t="s">
        <v>251</v>
      </c>
      <c r="E49" s="6" t="s">
        <v>221</v>
      </c>
      <c r="F49" s="6" t="s">
        <v>252</v>
      </c>
      <c r="G49" s="6" t="s">
        <v>253</v>
      </c>
      <c r="H49" s="6" t="s">
        <v>254</v>
      </c>
      <c r="I49" s="6"/>
      <c r="J49" s="6" t="s">
        <v>255</v>
      </c>
      <c r="K49" s="6" t="s">
        <v>39</v>
      </c>
      <c r="L49" s="6"/>
      <c r="M49" s="6"/>
      <c r="N49" s="6"/>
    </row>
    <row r="50" customFormat="false" ht="90" hidden="false" customHeight="true" outlineLevel="0" collapsed="false">
      <c r="A50" s="6" t="n">
        <v>7</v>
      </c>
      <c r="B50" s="6" t="s">
        <v>256</v>
      </c>
      <c r="C50" s="6" t="s">
        <v>257</v>
      </c>
      <c r="D50" s="6" t="s">
        <v>258</v>
      </c>
      <c r="E50" s="6" t="s">
        <v>221</v>
      </c>
      <c r="F50" s="6" t="s">
        <v>259</v>
      </c>
      <c r="G50" s="6" t="s">
        <v>260</v>
      </c>
      <c r="H50" s="6" t="s">
        <v>261</v>
      </c>
      <c r="I50" s="6"/>
      <c r="J50" s="6" t="s">
        <v>53</v>
      </c>
      <c r="K50" s="6" t="s">
        <v>32</v>
      </c>
      <c r="L50" s="6"/>
      <c r="M50" s="6"/>
      <c r="N50" s="6"/>
    </row>
    <row r="51" customFormat="false" ht="90" hidden="false" customHeight="true" outlineLevel="0" collapsed="false">
      <c r="A51" s="6" t="n">
        <v>8</v>
      </c>
      <c r="B51" s="6" t="s">
        <v>262</v>
      </c>
      <c r="C51" s="6" t="s">
        <v>263</v>
      </c>
      <c r="D51" s="6" t="s">
        <v>264</v>
      </c>
      <c r="E51" s="6" t="s">
        <v>221</v>
      </c>
      <c r="F51" s="6" t="s">
        <v>265</v>
      </c>
      <c r="G51" s="6" t="s">
        <v>266</v>
      </c>
      <c r="H51" s="6" t="s">
        <v>267</v>
      </c>
      <c r="I51" s="6"/>
      <c r="J51" s="6" t="s">
        <v>53</v>
      </c>
      <c r="K51" s="6" t="s">
        <v>32</v>
      </c>
      <c r="L51" s="6"/>
      <c r="M51" s="6"/>
      <c r="N51" s="6"/>
    </row>
    <row r="52" customFormat="false" ht="90" hidden="false" customHeight="true" outlineLevel="0" collapsed="false">
      <c r="A52" s="6" t="n">
        <v>9</v>
      </c>
      <c r="B52" s="6" t="s">
        <v>268</v>
      </c>
      <c r="C52" s="6" t="s">
        <v>269</v>
      </c>
      <c r="D52" s="6" t="s">
        <v>270</v>
      </c>
      <c r="E52" s="6" t="s">
        <v>221</v>
      </c>
      <c r="F52" s="6" t="s">
        <v>271</v>
      </c>
      <c r="G52" s="6" t="s">
        <v>272</v>
      </c>
      <c r="H52" s="6" t="s">
        <v>273</v>
      </c>
      <c r="I52" s="6"/>
      <c r="J52" s="6" t="s">
        <v>23</v>
      </c>
      <c r="K52" s="6" t="s">
        <v>32</v>
      </c>
      <c r="L52" s="6"/>
      <c r="M52" s="6"/>
      <c r="N52" s="6"/>
    </row>
    <row r="53" customFormat="false" ht="90" hidden="false" customHeight="true" outlineLevel="0" collapsed="false">
      <c r="A53" s="6" t="n">
        <v>10</v>
      </c>
      <c r="B53" s="6" t="s">
        <v>274</v>
      </c>
      <c r="C53" s="6" t="s">
        <v>275</v>
      </c>
      <c r="D53" s="6" t="s">
        <v>276</v>
      </c>
      <c r="E53" s="6" t="s">
        <v>221</v>
      </c>
      <c r="F53" s="6" t="s">
        <v>277</v>
      </c>
      <c r="G53" s="6" t="s">
        <v>278</v>
      </c>
      <c r="H53" s="6" t="s">
        <v>279</v>
      </c>
      <c r="I53" s="6"/>
      <c r="J53" s="6" t="s">
        <v>23</v>
      </c>
      <c r="K53" s="6" t="s">
        <v>32</v>
      </c>
      <c r="L53" s="6"/>
      <c r="M53" s="6"/>
      <c r="N53" s="6" t="s">
        <v>280</v>
      </c>
    </row>
    <row r="54" customFormat="false" ht="90" hidden="false" customHeight="true" outlineLevel="0" collapsed="false">
      <c r="A54" s="6" t="n">
        <v>11</v>
      </c>
      <c r="B54" s="6" t="s">
        <v>281</v>
      </c>
      <c r="C54" s="6" t="s">
        <v>282</v>
      </c>
      <c r="D54" s="6" t="s">
        <v>283</v>
      </c>
      <c r="E54" s="6" t="s">
        <v>221</v>
      </c>
      <c r="F54" s="6" t="s">
        <v>284</v>
      </c>
      <c r="G54" s="6" t="s">
        <v>285</v>
      </c>
      <c r="H54" s="6" t="s">
        <v>286</v>
      </c>
      <c r="I54" s="6"/>
      <c r="J54" s="6" t="s">
        <v>23</v>
      </c>
      <c r="K54" s="6" t="s">
        <v>24</v>
      </c>
      <c r="L54" s="6"/>
      <c r="M54" s="6"/>
      <c r="N54" s="6" t="s">
        <v>287</v>
      </c>
    </row>
    <row r="55" customFormat="false" ht="90" hidden="false" customHeight="true" outlineLevel="0" collapsed="false">
      <c r="A55" s="6" t="n">
        <v>12</v>
      </c>
      <c r="B55" s="6" t="s">
        <v>288</v>
      </c>
      <c r="C55" s="6" t="s">
        <v>289</v>
      </c>
      <c r="D55" s="6" t="s">
        <v>290</v>
      </c>
      <c r="E55" s="6" t="s">
        <v>221</v>
      </c>
      <c r="F55" s="6" t="s">
        <v>291</v>
      </c>
      <c r="G55" s="6" t="s">
        <v>292</v>
      </c>
      <c r="H55" s="6" t="s">
        <v>293</v>
      </c>
      <c r="I55" s="6"/>
      <c r="J55" s="6" t="s">
        <v>23</v>
      </c>
      <c r="K55" s="6" t="s">
        <v>32</v>
      </c>
      <c r="L55" s="6"/>
      <c r="M55" s="6"/>
      <c r="N55" s="6"/>
    </row>
    <row r="56" customFormat="false" ht="90" hidden="false" customHeight="true" outlineLevel="0" collapsed="false">
      <c r="A56" s="6" t="n">
        <v>13</v>
      </c>
      <c r="B56" s="6" t="s">
        <v>294</v>
      </c>
      <c r="C56" s="6" t="s">
        <v>295</v>
      </c>
      <c r="D56" s="6" t="s">
        <v>296</v>
      </c>
      <c r="E56" s="6" t="s">
        <v>221</v>
      </c>
      <c r="F56" s="6" t="s">
        <v>297</v>
      </c>
      <c r="G56" s="6" t="s">
        <v>298</v>
      </c>
      <c r="H56" s="6" t="s">
        <v>299</v>
      </c>
      <c r="I56" s="6"/>
      <c r="J56" s="6" t="s">
        <v>23</v>
      </c>
      <c r="K56" s="6" t="s">
        <v>32</v>
      </c>
      <c r="L56" s="6"/>
      <c r="M56" s="6"/>
      <c r="N56" s="6"/>
    </row>
    <row r="57" customFormat="false" ht="90" hidden="false" customHeight="true" outlineLevel="0" collapsed="false">
      <c r="A57" s="6" t="n">
        <v>14</v>
      </c>
      <c r="B57" s="6" t="s">
        <v>300</v>
      </c>
      <c r="C57" s="6" t="s">
        <v>301</v>
      </c>
      <c r="D57" s="6" t="s">
        <v>302</v>
      </c>
      <c r="E57" s="6" t="s">
        <v>221</v>
      </c>
      <c r="F57" s="6" t="s">
        <v>303</v>
      </c>
      <c r="G57" s="6" t="s">
        <v>304</v>
      </c>
      <c r="H57" s="6" t="s">
        <v>305</v>
      </c>
      <c r="I57" s="6"/>
      <c r="J57" s="6" t="s">
        <v>53</v>
      </c>
      <c r="K57" s="6" t="s">
        <v>39</v>
      </c>
      <c r="L57" s="6"/>
      <c r="M57" s="6"/>
      <c r="N57" s="6"/>
    </row>
    <row r="58" customFormat="false" ht="90" hidden="false" customHeight="true" outlineLevel="0" collapsed="false">
      <c r="A58" s="6" t="n">
        <v>15</v>
      </c>
      <c r="B58" s="6" t="s">
        <v>306</v>
      </c>
      <c r="C58" s="6" t="s">
        <v>307</v>
      </c>
      <c r="D58" s="6" t="s">
        <v>308</v>
      </c>
      <c r="E58" s="6" t="s">
        <v>309</v>
      </c>
      <c r="F58" s="6" t="s">
        <v>310</v>
      </c>
      <c r="G58" s="6" t="s">
        <v>311</v>
      </c>
      <c r="H58" s="6" t="s">
        <v>312</v>
      </c>
      <c r="I58" s="6"/>
      <c r="J58" s="6" t="s">
        <v>23</v>
      </c>
      <c r="K58" s="6" t="s">
        <v>39</v>
      </c>
      <c r="L58" s="6"/>
      <c r="M58" s="6"/>
      <c r="N58" s="6"/>
    </row>
    <row r="60" customFormat="false" ht="19.5" hidden="false" customHeight="true" outlineLevel="0" collapsed="false">
      <c r="A60" s="4" t="s">
        <v>313</v>
      </c>
      <c r="B60" s="4"/>
      <c r="C60" s="4"/>
      <c r="D60" s="4"/>
      <c r="E60" s="4"/>
      <c r="F60" s="4"/>
      <c r="G60" s="4"/>
      <c r="H60" s="4"/>
      <c r="I60" s="4"/>
      <c r="J60" s="4"/>
      <c r="K60" s="4"/>
      <c r="L60" s="4"/>
      <c r="M60" s="4"/>
      <c r="N60" s="4"/>
    </row>
    <row r="61" customFormat="false" ht="21.75" hidden="false" customHeight="true" outlineLevel="0" collapsed="false">
      <c r="A61" s="5" t="s">
        <v>3</v>
      </c>
      <c r="B61" s="5" t="s">
        <v>4</v>
      </c>
      <c r="C61" s="5" t="s">
        <v>5</v>
      </c>
      <c r="D61" s="5" t="s">
        <v>6</v>
      </c>
      <c r="E61" s="5" t="s">
        <v>7</v>
      </c>
      <c r="F61" s="5" t="s">
        <v>8</v>
      </c>
      <c r="G61" s="5" t="s">
        <v>9</v>
      </c>
      <c r="H61" s="5" t="s">
        <v>10</v>
      </c>
      <c r="I61" s="5" t="s">
        <v>11</v>
      </c>
      <c r="J61" s="5" t="s">
        <v>12</v>
      </c>
      <c r="K61" s="5" t="s">
        <v>13</v>
      </c>
      <c r="L61" s="5" t="s">
        <v>14</v>
      </c>
      <c r="M61" s="5" t="s">
        <v>15</v>
      </c>
      <c r="N61" s="5" t="s">
        <v>16</v>
      </c>
    </row>
    <row r="62" customFormat="false" ht="90" hidden="false" customHeight="true" outlineLevel="0" collapsed="false">
      <c r="A62" s="6" t="n">
        <v>1</v>
      </c>
      <c r="B62" s="6" t="s">
        <v>314</v>
      </c>
      <c r="C62" s="6" t="s">
        <v>315</v>
      </c>
      <c r="D62" s="6" t="s">
        <v>316</v>
      </c>
      <c r="E62" s="6" t="s">
        <v>317</v>
      </c>
      <c r="F62" s="6" t="s">
        <v>318</v>
      </c>
      <c r="G62" s="6" t="s">
        <v>319</v>
      </c>
      <c r="H62" s="6" t="s">
        <v>320</v>
      </c>
      <c r="I62" s="6"/>
      <c r="J62" s="6" t="s">
        <v>23</v>
      </c>
      <c r="K62" s="6" t="s">
        <v>39</v>
      </c>
      <c r="L62" s="6"/>
      <c r="M62" s="6"/>
      <c r="N62" s="6"/>
    </row>
    <row r="63" customFormat="false" ht="90" hidden="false" customHeight="true" outlineLevel="0" collapsed="false">
      <c r="A63" s="6" t="n">
        <v>2</v>
      </c>
      <c r="B63" s="6" t="s">
        <v>321</v>
      </c>
      <c r="C63" s="6" t="s">
        <v>322</v>
      </c>
      <c r="D63" s="6" t="s">
        <v>323</v>
      </c>
      <c r="E63" s="6" t="s">
        <v>317</v>
      </c>
      <c r="F63" s="6" t="s">
        <v>324</v>
      </c>
      <c r="G63" s="6" t="s">
        <v>325</v>
      </c>
      <c r="H63" s="6" t="s">
        <v>326</v>
      </c>
      <c r="I63" s="6"/>
      <c r="J63" s="6" t="s">
        <v>23</v>
      </c>
      <c r="K63" s="6" t="s">
        <v>39</v>
      </c>
      <c r="L63" s="6"/>
      <c r="M63" s="6"/>
      <c r="N63" s="6"/>
    </row>
    <row r="64" customFormat="false" ht="90" hidden="false" customHeight="true" outlineLevel="0" collapsed="false">
      <c r="A64" s="6" t="n">
        <v>3</v>
      </c>
      <c r="B64" s="6" t="s">
        <v>327</v>
      </c>
      <c r="C64" s="6" t="s">
        <v>328</v>
      </c>
      <c r="D64" s="6" t="s">
        <v>329</v>
      </c>
      <c r="E64" s="6" t="s">
        <v>317</v>
      </c>
      <c r="F64" s="6" t="s">
        <v>330</v>
      </c>
      <c r="G64" s="6" t="s">
        <v>30</v>
      </c>
      <c r="H64" s="6" t="s">
        <v>331</v>
      </c>
      <c r="I64" s="6"/>
      <c r="J64" s="6" t="s">
        <v>23</v>
      </c>
      <c r="K64" s="6" t="s">
        <v>32</v>
      </c>
      <c r="L64" s="6"/>
      <c r="M64" s="6"/>
      <c r="N64" s="6"/>
    </row>
    <row r="65" customFormat="false" ht="90" hidden="false" customHeight="true" outlineLevel="0" collapsed="false">
      <c r="A65" s="6" t="n">
        <v>4</v>
      </c>
      <c r="B65" s="6" t="s">
        <v>332</v>
      </c>
      <c r="C65" s="6" t="s">
        <v>333</v>
      </c>
      <c r="D65" s="6" t="s">
        <v>334</v>
      </c>
      <c r="E65" s="6" t="s">
        <v>317</v>
      </c>
      <c r="F65" s="6" t="s">
        <v>335</v>
      </c>
      <c r="G65" s="6" t="s">
        <v>30</v>
      </c>
      <c r="H65" s="6" t="s">
        <v>336</v>
      </c>
      <c r="I65" s="6"/>
      <c r="J65" s="6" t="s">
        <v>53</v>
      </c>
      <c r="K65" s="6" t="s">
        <v>32</v>
      </c>
      <c r="L65" s="6"/>
      <c r="M65" s="6"/>
      <c r="N65" s="6" t="s">
        <v>216</v>
      </c>
    </row>
    <row r="66" customFormat="false" ht="90" hidden="false" customHeight="true" outlineLevel="0" collapsed="false">
      <c r="A66" s="6" t="n">
        <v>5</v>
      </c>
      <c r="B66" s="6" t="s">
        <v>337</v>
      </c>
      <c r="C66" s="6" t="s">
        <v>338</v>
      </c>
      <c r="D66" s="6" t="s">
        <v>339</v>
      </c>
      <c r="E66" s="6" t="s">
        <v>317</v>
      </c>
      <c r="F66" s="6" t="s">
        <v>340</v>
      </c>
      <c r="G66" s="6" t="s">
        <v>30</v>
      </c>
      <c r="H66" s="6" t="s">
        <v>341</v>
      </c>
      <c r="I66" s="6"/>
      <c r="J66" s="6" t="s">
        <v>23</v>
      </c>
      <c r="K66" s="6" t="s">
        <v>32</v>
      </c>
      <c r="L66" s="6"/>
      <c r="M66" s="6"/>
      <c r="N66" s="6"/>
    </row>
    <row r="67" customFormat="false" ht="90" hidden="false" customHeight="true" outlineLevel="0" collapsed="false">
      <c r="A67" s="6" t="n">
        <v>6</v>
      </c>
      <c r="B67" s="6" t="s">
        <v>342</v>
      </c>
      <c r="C67" s="6" t="s">
        <v>343</v>
      </c>
      <c r="D67" s="6" t="s">
        <v>344</v>
      </c>
      <c r="E67" s="6" t="s">
        <v>317</v>
      </c>
      <c r="F67" s="6" t="s">
        <v>345</v>
      </c>
      <c r="G67" s="6" t="s">
        <v>30</v>
      </c>
      <c r="H67" s="6" t="s">
        <v>346</v>
      </c>
      <c r="I67" s="6"/>
      <c r="J67" s="6" t="s">
        <v>23</v>
      </c>
      <c r="K67" s="6" t="s">
        <v>32</v>
      </c>
      <c r="L67" s="6"/>
      <c r="M67" s="6"/>
      <c r="N67" s="6" t="s">
        <v>347</v>
      </c>
    </row>
    <row r="68" customFormat="false" ht="90" hidden="false" customHeight="true" outlineLevel="0" collapsed="false">
      <c r="A68" s="6" t="n">
        <v>7</v>
      </c>
      <c r="B68" s="6" t="s">
        <v>348</v>
      </c>
      <c r="C68" s="6" t="s">
        <v>349</v>
      </c>
      <c r="D68" s="6" t="s">
        <v>350</v>
      </c>
      <c r="E68" s="6" t="s">
        <v>317</v>
      </c>
      <c r="F68" s="6" t="s">
        <v>351</v>
      </c>
      <c r="G68" s="6" t="s">
        <v>30</v>
      </c>
      <c r="H68" s="6" t="s">
        <v>352</v>
      </c>
      <c r="I68" s="6"/>
      <c r="J68" s="6" t="s">
        <v>23</v>
      </c>
      <c r="K68" s="6" t="s">
        <v>32</v>
      </c>
      <c r="L68" s="6"/>
      <c r="M68" s="6"/>
      <c r="N68" s="6"/>
    </row>
    <row r="69" customFormat="false" ht="90" hidden="false" customHeight="true" outlineLevel="0" collapsed="false">
      <c r="A69" s="6" t="n">
        <v>8</v>
      </c>
      <c r="B69" s="6" t="s">
        <v>353</v>
      </c>
      <c r="C69" s="6" t="s">
        <v>354</v>
      </c>
      <c r="D69" s="6" t="s">
        <v>355</v>
      </c>
      <c r="E69" s="6" t="s">
        <v>317</v>
      </c>
      <c r="F69" s="6" t="s">
        <v>356</v>
      </c>
      <c r="G69" s="6" t="s">
        <v>357</v>
      </c>
      <c r="H69" s="6" t="s">
        <v>358</v>
      </c>
      <c r="I69" s="6"/>
      <c r="J69" s="6" t="s">
        <v>23</v>
      </c>
      <c r="K69" s="6" t="s">
        <v>32</v>
      </c>
      <c r="L69" s="6"/>
      <c r="M69" s="6"/>
      <c r="N69" s="6"/>
    </row>
    <row r="70" customFormat="false" ht="90" hidden="false" customHeight="true" outlineLevel="0" collapsed="false">
      <c r="A70" s="6" t="n">
        <v>9</v>
      </c>
      <c r="B70" s="6" t="s">
        <v>359</v>
      </c>
      <c r="C70" s="6" t="s">
        <v>360</v>
      </c>
      <c r="D70" s="6" t="s">
        <v>361</v>
      </c>
      <c r="E70" s="6" t="s">
        <v>317</v>
      </c>
      <c r="F70" s="6" t="s">
        <v>362</v>
      </c>
      <c r="G70" s="6" t="s">
        <v>363</v>
      </c>
      <c r="H70" s="6" t="s">
        <v>364</v>
      </c>
      <c r="I70" s="6"/>
      <c r="J70" s="6" t="s">
        <v>23</v>
      </c>
      <c r="K70" s="6" t="s">
        <v>32</v>
      </c>
      <c r="L70" s="6"/>
      <c r="M70" s="6"/>
      <c r="N70" s="6"/>
    </row>
    <row r="71" customFormat="false" ht="90" hidden="false" customHeight="true" outlineLevel="0" collapsed="false">
      <c r="A71" s="6" t="n">
        <v>10</v>
      </c>
      <c r="B71" s="6" t="s">
        <v>365</v>
      </c>
      <c r="C71" s="6" t="s">
        <v>366</v>
      </c>
      <c r="D71" s="6" t="s">
        <v>367</v>
      </c>
      <c r="E71" s="6" t="s">
        <v>368</v>
      </c>
      <c r="F71" s="6" t="s">
        <v>369</v>
      </c>
      <c r="G71" s="6" t="s">
        <v>30</v>
      </c>
      <c r="H71" s="6" t="s">
        <v>370</v>
      </c>
      <c r="I71" s="6"/>
      <c r="J71" s="6" t="s">
        <v>23</v>
      </c>
      <c r="K71" s="6" t="s">
        <v>39</v>
      </c>
      <c r="L71" s="6"/>
      <c r="M71" s="6"/>
      <c r="N71" s="6"/>
    </row>
    <row r="73" customFormat="false" ht="19.5" hidden="false" customHeight="true" outlineLevel="0" collapsed="false">
      <c r="A73" s="4" t="s">
        <v>371</v>
      </c>
      <c r="B73" s="4"/>
      <c r="C73" s="4"/>
      <c r="D73" s="4"/>
      <c r="E73" s="4"/>
      <c r="F73" s="4"/>
      <c r="G73" s="4"/>
      <c r="H73" s="4"/>
      <c r="I73" s="4"/>
      <c r="J73" s="4"/>
      <c r="K73" s="4"/>
      <c r="L73" s="4"/>
      <c r="M73" s="4"/>
      <c r="N73" s="4"/>
    </row>
    <row r="74" customFormat="false" ht="21.75" hidden="false" customHeight="true" outlineLevel="0" collapsed="false">
      <c r="A74" s="5" t="s">
        <v>3</v>
      </c>
      <c r="B74" s="5" t="s">
        <v>4</v>
      </c>
      <c r="C74" s="5" t="s">
        <v>5</v>
      </c>
      <c r="D74" s="5" t="s">
        <v>6</v>
      </c>
      <c r="E74" s="5" t="s">
        <v>7</v>
      </c>
      <c r="F74" s="5" t="s">
        <v>8</v>
      </c>
      <c r="G74" s="5" t="s">
        <v>9</v>
      </c>
      <c r="H74" s="5" t="s">
        <v>10</v>
      </c>
      <c r="I74" s="5" t="s">
        <v>11</v>
      </c>
      <c r="J74" s="5" t="s">
        <v>12</v>
      </c>
      <c r="K74" s="5" t="s">
        <v>13</v>
      </c>
      <c r="L74" s="5" t="s">
        <v>14</v>
      </c>
      <c r="M74" s="5" t="s">
        <v>15</v>
      </c>
      <c r="N74" s="5" t="s">
        <v>16</v>
      </c>
    </row>
    <row r="75" customFormat="false" ht="90" hidden="false" customHeight="true" outlineLevel="0" collapsed="false">
      <c r="A75" s="6" t="n">
        <v>1</v>
      </c>
      <c r="B75" s="6" t="s">
        <v>372</v>
      </c>
      <c r="C75" s="6" t="s">
        <v>373</v>
      </c>
      <c r="D75" s="6" t="s">
        <v>374</v>
      </c>
      <c r="E75" s="6" t="s">
        <v>375</v>
      </c>
      <c r="F75" s="6" t="s">
        <v>376</v>
      </c>
      <c r="G75" s="6" t="s">
        <v>377</v>
      </c>
      <c r="H75" s="6" t="s">
        <v>378</v>
      </c>
      <c r="I75" s="6"/>
      <c r="J75" s="6" t="s">
        <v>23</v>
      </c>
      <c r="K75" s="6" t="s">
        <v>39</v>
      </c>
      <c r="L75" s="6"/>
      <c r="M75" s="6"/>
      <c r="N75" s="6"/>
    </row>
    <row r="76" customFormat="false" ht="90" hidden="false" customHeight="true" outlineLevel="0" collapsed="false">
      <c r="A76" s="6" t="n">
        <v>2</v>
      </c>
      <c r="B76" s="6" t="s">
        <v>379</v>
      </c>
      <c r="C76" s="6" t="s">
        <v>380</v>
      </c>
      <c r="D76" s="6" t="s">
        <v>381</v>
      </c>
      <c r="E76" s="6" t="s">
        <v>375</v>
      </c>
      <c r="F76" s="6" t="s">
        <v>382</v>
      </c>
      <c r="G76" s="6" t="s">
        <v>383</v>
      </c>
      <c r="H76" s="6" t="s">
        <v>384</v>
      </c>
      <c r="I76" s="6"/>
      <c r="J76" s="6" t="s">
        <v>23</v>
      </c>
      <c r="K76" s="6" t="s">
        <v>32</v>
      </c>
      <c r="L76" s="6"/>
      <c r="M76" s="6"/>
      <c r="N76" s="6"/>
    </row>
    <row r="77" customFormat="false" ht="90" hidden="false" customHeight="true" outlineLevel="0" collapsed="false">
      <c r="A77" s="6" t="n">
        <v>3</v>
      </c>
      <c r="B77" s="6" t="s">
        <v>385</v>
      </c>
      <c r="C77" s="6" t="s">
        <v>386</v>
      </c>
      <c r="D77" s="6" t="s">
        <v>387</v>
      </c>
      <c r="E77" s="6" t="s">
        <v>375</v>
      </c>
      <c r="F77" s="6" t="s">
        <v>388</v>
      </c>
      <c r="G77" s="6" t="s">
        <v>389</v>
      </c>
      <c r="H77" s="6" t="s">
        <v>390</v>
      </c>
      <c r="I77" s="6"/>
      <c r="J77" s="6" t="s">
        <v>23</v>
      </c>
      <c r="K77" s="6" t="s">
        <v>39</v>
      </c>
      <c r="L77" s="6"/>
      <c r="M77" s="6"/>
      <c r="N77" s="6"/>
    </row>
    <row r="78" customFormat="false" ht="90" hidden="false" customHeight="true" outlineLevel="0" collapsed="false">
      <c r="A78" s="6" t="n">
        <v>4</v>
      </c>
      <c r="B78" s="6" t="s">
        <v>391</v>
      </c>
      <c r="C78" s="6" t="s">
        <v>392</v>
      </c>
      <c r="D78" s="6" t="s">
        <v>393</v>
      </c>
      <c r="E78" s="6" t="s">
        <v>375</v>
      </c>
      <c r="F78" s="6" t="s">
        <v>394</v>
      </c>
      <c r="G78" s="6" t="s">
        <v>395</v>
      </c>
      <c r="H78" s="6" t="s">
        <v>396</v>
      </c>
      <c r="I78" s="6"/>
      <c r="J78" s="6" t="s">
        <v>23</v>
      </c>
      <c r="K78" s="6" t="s">
        <v>32</v>
      </c>
      <c r="L78" s="6"/>
      <c r="M78" s="6"/>
      <c r="N78" s="6"/>
    </row>
    <row r="79" customFormat="false" ht="90" hidden="false" customHeight="true" outlineLevel="0" collapsed="false">
      <c r="A79" s="6" t="n">
        <v>5</v>
      </c>
      <c r="B79" s="6" t="s">
        <v>397</v>
      </c>
      <c r="C79" s="6" t="s">
        <v>398</v>
      </c>
      <c r="D79" s="6" t="s">
        <v>399</v>
      </c>
      <c r="E79" s="6" t="s">
        <v>375</v>
      </c>
      <c r="F79" s="6" t="s">
        <v>400</v>
      </c>
      <c r="G79" s="6" t="s">
        <v>401</v>
      </c>
      <c r="H79" s="6" t="s">
        <v>402</v>
      </c>
      <c r="I79" s="6"/>
      <c r="J79" s="6" t="s">
        <v>53</v>
      </c>
      <c r="K79" s="6" t="s">
        <v>39</v>
      </c>
      <c r="L79" s="6"/>
      <c r="M79" s="6"/>
      <c r="N79" s="6"/>
    </row>
    <row r="80" customFormat="false" ht="90" hidden="false" customHeight="true" outlineLevel="0" collapsed="false">
      <c r="A80" s="6" t="n">
        <v>6</v>
      </c>
      <c r="B80" s="6" t="s">
        <v>403</v>
      </c>
      <c r="C80" s="6" t="s">
        <v>404</v>
      </c>
      <c r="D80" s="6" t="s">
        <v>405</v>
      </c>
      <c r="E80" s="6" t="s">
        <v>375</v>
      </c>
      <c r="F80" s="6" t="s">
        <v>406</v>
      </c>
      <c r="G80" s="6" t="s">
        <v>407</v>
      </c>
      <c r="H80" s="6" t="s">
        <v>408</v>
      </c>
      <c r="I80" s="6"/>
      <c r="J80" s="6" t="s">
        <v>23</v>
      </c>
      <c r="K80" s="6" t="s">
        <v>32</v>
      </c>
      <c r="L80" s="6"/>
      <c r="M80" s="6"/>
      <c r="N80" s="6"/>
    </row>
    <row r="81" customFormat="false" ht="90" hidden="false" customHeight="true" outlineLevel="0" collapsed="false">
      <c r="A81" s="6" t="n">
        <v>7</v>
      </c>
      <c r="B81" s="6" t="s">
        <v>409</v>
      </c>
      <c r="C81" s="6" t="s">
        <v>410</v>
      </c>
      <c r="D81" s="6" t="s">
        <v>411</v>
      </c>
      <c r="E81" s="6" t="s">
        <v>375</v>
      </c>
      <c r="F81" s="6" t="s">
        <v>412</v>
      </c>
      <c r="G81" s="6" t="s">
        <v>413</v>
      </c>
      <c r="H81" s="6" t="s">
        <v>414</v>
      </c>
      <c r="I81" s="6"/>
      <c r="J81" s="6" t="s">
        <v>53</v>
      </c>
      <c r="K81" s="6" t="s">
        <v>32</v>
      </c>
      <c r="L81" s="6"/>
      <c r="M81" s="6"/>
      <c r="N81" s="6" t="s">
        <v>415</v>
      </c>
    </row>
    <row r="82" customFormat="false" ht="90" hidden="false" customHeight="true" outlineLevel="0" collapsed="false">
      <c r="A82" s="6" t="n">
        <v>8</v>
      </c>
      <c r="B82" s="6" t="s">
        <v>416</v>
      </c>
      <c r="C82" s="6" t="s">
        <v>417</v>
      </c>
      <c r="D82" s="6" t="s">
        <v>418</v>
      </c>
      <c r="E82" s="6" t="s">
        <v>375</v>
      </c>
      <c r="F82" s="6" t="s">
        <v>419</v>
      </c>
      <c r="G82" s="6" t="s">
        <v>420</v>
      </c>
      <c r="H82" s="6" t="s">
        <v>421</v>
      </c>
      <c r="I82" s="6"/>
      <c r="J82" s="6" t="s">
        <v>23</v>
      </c>
      <c r="K82" s="6" t="s">
        <v>32</v>
      </c>
      <c r="L82" s="6"/>
      <c r="M82" s="6"/>
      <c r="N82" s="6"/>
    </row>
    <row r="83" customFormat="false" ht="90" hidden="false" customHeight="true" outlineLevel="0" collapsed="false">
      <c r="A83" s="6" t="n">
        <v>9</v>
      </c>
      <c r="B83" s="6" t="s">
        <v>422</v>
      </c>
      <c r="C83" s="6" t="s">
        <v>423</v>
      </c>
      <c r="D83" s="6" t="s">
        <v>424</v>
      </c>
      <c r="E83" s="6" t="s">
        <v>375</v>
      </c>
      <c r="F83" s="6" t="s">
        <v>425</v>
      </c>
      <c r="G83" s="6" t="s">
        <v>426</v>
      </c>
      <c r="H83" s="6" t="s">
        <v>427</v>
      </c>
      <c r="I83" s="6"/>
      <c r="J83" s="6" t="s">
        <v>23</v>
      </c>
      <c r="K83" s="6" t="s">
        <v>32</v>
      </c>
      <c r="L83" s="6"/>
      <c r="M83" s="6"/>
      <c r="N83" s="6"/>
    </row>
    <row r="84" customFormat="false" ht="90" hidden="false" customHeight="true" outlineLevel="0" collapsed="false">
      <c r="A84" s="6" t="n">
        <v>10</v>
      </c>
      <c r="B84" s="6" t="s">
        <v>428</v>
      </c>
      <c r="C84" s="6" t="s">
        <v>429</v>
      </c>
      <c r="D84" s="6" t="s">
        <v>430</v>
      </c>
      <c r="E84" s="6" t="s">
        <v>431</v>
      </c>
      <c r="F84" s="6" t="s">
        <v>432</v>
      </c>
      <c r="G84" s="6" t="s">
        <v>433</v>
      </c>
      <c r="H84" s="6" t="s">
        <v>434</v>
      </c>
      <c r="I84" s="6"/>
      <c r="J84" s="6" t="s">
        <v>23</v>
      </c>
      <c r="K84" s="6" t="s">
        <v>39</v>
      </c>
      <c r="L84" s="6"/>
      <c r="M84" s="6"/>
      <c r="N84" s="6"/>
    </row>
    <row r="85" customFormat="false" ht="90" hidden="false" customHeight="true" outlineLevel="0" collapsed="false">
      <c r="A85" s="6" t="n">
        <v>11</v>
      </c>
      <c r="B85" s="6" t="s">
        <v>435</v>
      </c>
      <c r="C85" s="6" t="s">
        <v>436</v>
      </c>
      <c r="D85" s="6" t="s">
        <v>437</v>
      </c>
      <c r="E85" s="6" t="s">
        <v>375</v>
      </c>
      <c r="F85" s="6" t="s">
        <v>438</v>
      </c>
      <c r="G85" s="6" t="s">
        <v>439</v>
      </c>
      <c r="H85" s="6" t="s">
        <v>440</v>
      </c>
      <c r="I85" s="6"/>
      <c r="J85" s="6" t="s">
        <v>23</v>
      </c>
      <c r="K85" s="6" t="s">
        <v>32</v>
      </c>
      <c r="L85" s="6"/>
      <c r="M85" s="6"/>
      <c r="N85" s="6" t="s">
        <v>216</v>
      </c>
    </row>
    <row r="86" customFormat="false" ht="90" hidden="false" customHeight="true" outlineLevel="0" collapsed="false">
      <c r="A86" s="6" t="n">
        <v>12</v>
      </c>
      <c r="B86" s="6" t="s">
        <v>441</v>
      </c>
      <c r="C86" s="6" t="s">
        <v>442</v>
      </c>
      <c r="D86" s="6" t="s">
        <v>443</v>
      </c>
      <c r="E86" s="6" t="s">
        <v>375</v>
      </c>
      <c r="F86" s="6" t="s">
        <v>444</v>
      </c>
      <c r="G86" s="6" t="s">
        <v>445</v>
      </c>
      <c r="H86" s="6" t="s">
        <v>446</v>
      </c>
      <c r="I86" s="6"/>
      <c r="J86" s="6" t="s">
        <v>23</v>
      </c>
      <c r="K86" s="6" t="s">
        <v>32</v>
      </c>
      <c r="L86" s="6"/>
      <c r="M86" s="6"/>
      <c r="N86" s="6"/>
    </row>
    <row r="88" customFormat="false" ht="19.5" hidden="false" customHeight="true" outlineLevel="0" collapsed="false">
      <c r="A88" s="4" t="s">
        <v>447</v>
      </c>
      <c r="B88" s="4"/>
      <c r="C88" s="4"/>
      <c r="D88" s="4"/>
      <c r="E88" s="4"/>
      <c r="F88" s="4"/>
      <c r="G88" s="4"/>
      <c r="H88" s="4"/>
      <c r="I88" s="4"/>
      <c r="J88" s="4"/>
      <c r="K88" s="4"/>
      <c r="L88" s="4"/>
      <c r="M88" s="4"/>
      <c r="N88" s="4"/>
    </row>
    <row r="89" customFormat="false" ht="21.75" hidden="false" customHeight="true" outlineLevel="0" collapsed="false">
      <c r="A89" s="5" t="s">
        <v>3</v>
      </c>
      <c r="B89" s="5" t="s">
        <v>4</v>
      </c>
      <c r="C89" s="5" t="s">
        <v>5</v>
      </c>
      <c r="D89" s="5" t="s">
        <v>6</v>
      </c>
      <c r="E89" s="5" t="s">
        <v>7</v>
      </c>
      <c r="F89" s="5" t="s">
        <v>8</v>
      </c>
      <c r="G89" s="5" t="s">
        <v>9</v>
      </c>
      <c r="H89" s="5" t="s">
        <v>10</v>
      </c>
      <c r="I89" s="5" t="s">
        <v>11</v>
      </c>
      <c r="J89" s="5" t="s">
        <v>12</v>
      </c>
      <c r="K89" s="5" t="s">
        <v>13</v>
      </c>
      <c r="L89" s="5" t="s">
        <v>14</v>
      </c>
      <c r="M89" s="5" t="s">
        <v>15</v>
      </c>
      <c r="N89" s="5" t="s">
        <v>16</v>
      </c>
    </row>
    <row r="90" customFormat="false" ht="90" hidden="false" customHeight="true" outlineLevel="0" collapsed="false">
      <c r="A90" s="6" t="n">
        <v>1</v>
      </c>
      <c r="B90" s="6" t="s">
        <v>448</v>
      </c>
      <c r="C90" s="6" t="s">
        <v>449</v>
      </c>
      <c r="D90" s="6" t="s">
        <v>450</v>
      </c>
      <c r="E90" s="6" t="s">
        <v>451</v>
      </c>
      <c r="F90" s="6" t="s">
        <v>452</v>
      </c>
      <c r="G90" s="6" t="s">
        <v>453</v>
      </c>
      <c r="H90" s="6" t="s">
        <v>454</v>
      </c>
      <c r="I90" s="6"/>
      <c r="J90" s="6" t="s">
        <v>23</v>
      </c>
      <c r="K90" s="6" t="s">
        <v>39</v>
      </c>
      <c r="L90" s="6"/>
      <c r="M90" s="6"/>
      <c r="N90" s="6"/>
    </row>
    <row r="91" customFormat="false" ht="90" hidden="false" customHeight="true" outlineLevel="0" collapsed="false">
      <c r="A91" s="6" t="n">
        <v>2</v>
      </c>
      <c r="B91" s="6" t="s">
        <v>455</v>
      </c>
      <c r="C91" s="6" t="s">
        <v>456</v>
      </c>
      <c r="D91" s="6" t="s">
        <v>457</v>
      </c>
      <c r="E91" s="6" t="s">
        <v>451</v>
      </c>
      <c r="F91" s="6" t="s">
        <v>458</v>
      </c>
      <c r="G91" s="6" t="s">
        <v>459</v>
      </c>
      <c r="H91" s="6" t="s">
        <v>460</v>
      </c>
      <c r="I91" s="6"/>
      <c r="J91" s="6" t="s">
        <v>23</v>
      </c>
      <c r="K91" s="6" t="s">
        <v>39</v>
      </c>
      <c r="L91" s="6"/>
      <c r="M91" s="6"/>
      <c r="N91" s="6"/>
    </row>
    <row r="92" customFormat="false" ht="90" hidden="false" customHeight="true" outlineLevel="0" collapsed="false">
      <c r="A92" s="6" t="n">
        <v>3</v>
      </c>
      <c r="B92" s="6" t="s">
        <v>461</v>
      </c>
      <c r="C92" s="6" t="s">
        <v>462</v>
      </c>
      <c r="D92" s="6" t="s">
        <v>463</v>
      </c>
      <c r="E92" s="6" t="s">
        <v>451</v>
      </c>
      <c r="F92" s="6" t="s">
        <v>464</v>
      </c>
      <c r="G92" s="6" t="s">
        <v>465</v>
      </c>
      <c r="H92" s="6" t="s">
        <v>466</v>
      </c>
      <c r="I92" s="6"/>
      <c r="J92" s="6" t="s">
        <v>23</v>
      </c>
      <c r="K92" s="6" t="s">
        <v>32</v>
      </c>
      <c r="L92" s="6"/>
      <c r="M92" s="6"/>
      <c r="N92" s="6"/>
    </row>
    <row r="93" customFormat="false" ht="90" hidden="false" customHeight="true" outlineLevel="0" collapsed="false">
      <c r="A93" s="6" t="n">
        <v>4</v>
      </c>
      <c r="B93" s="6" t="s">
        <v>467</v>
      </c>
      <c r="C93" s="6" t="s">
        <v>468</v>
      </c>
      <c r="D93" s="6" t="s">
        <v>469</v>
      </c>
      <c r="E93" s="6" t="s">
        <v>451</v>
      </c>
      <c r="F93" s="6" t="s">
        <v>470</v>
      </c>
      <c r="G93" s="6" t="s">
        <v>471</v>
      </c>
      <c r="H93" s="6" t="s">
        <v>472</v>
      </c>
      <c r="I93" s="6"/>
      <c r="J93" s="6" t="s">
        <v>53</v>
      </c>
      <c r="K93" s="6" t="s">
        <v>32</v>
      </c>
      <c r="L93" s="6"/>
      <c r="M93" s="6"/>
      <c r="N93" s="6"/>
    </row>
    <row r="94" customFormat="false" ht="90" hidden="false" customHeight="true" outlineLevel="0" collapsed="false">
      <c r="A94" s="6" t="n">
        <v>5</v>
      </c>
      <c r="B94" s="6" t="s">
        <v>473</v>
      </c>
      <c r="C94" s="6" t="s">
        <v>474</v>
      </c>
      <c r="D94" s="6" t="s">
        <v>475</v>
      </c>
      <c r="E94" s="6" t="s">
        <v>451</v>
      </c>
      <c r="F94" s="6" t="s">
        <v>476</v>
      </c>
      <c r="G94" s="6" t="s">
        <v>477</v>
      </c>
      <c r="H94" s="6" t="s">
        <v>478</v>
      </c>
      <c r="I94" s="6"/>
      <c r="J94" s="6" t="s">
        <v>23</v>
      </c>
      <c r="K94" s="6" t="s">
        <v>32</v>
      </c>
      <c r="L94" s="6"/>
      <c r="M94" s="6"/>
      <c r="N94" s="6"/>
    </row>
    <row r="95" customFormat="false" ht="90" hidden="false" customHeight="true" outlineLevel="0" collapsed="false">
      <c r="A95" s="6" t="n">
        <v>6</v>
      </c>
      <c r="B95" s="6" t="s">
        <v>479</v>
      </c>
      <c r="C95" s="6" t="s">
        <v>480</v>
      </c>
      <c r="D95" s="6" t="s">
        <v>481</v>
      </c>
      <c r="E95" s="6" t="s">
        <v>451</v>
      </c>
      <c r="F95" s="6" t="s">
        <v>482</v>
      </c>
      <c r="G95" s="6" t="s">
        <v>483</v>
      </c>
      <c r="H95" s="6" t="s">
        <v>484</v>
      </c>
      <c r="I95" s="6"/>
      <c r="J95" s="6" t="s">
        <v>23</v>
      </c>
      <c r="K95" s="6" t="s">
        <v>32</v>
      </c>
      <c r="L95" s="6"/>
      <c r="M95" s="6"/>
      <c r="N95" s="6"/>
    </row>
    <row r="96" customFormat="false" ht="90" hidden="false" customHeight="true" outlineLevel="0" collapsed="false">
      <c r="A96" s="6" t="n">
        <v>7</v>
      </c>
      <c r="B96" s="6" t="s">
        <v>485</v>
      </c>
      <c r="C96" s="6" t="s">
        <v>486</v>
      </c>
      <c r="D96" s="6" t="s">
        <v>487</v>
      </c>
      <c r="E96" s="6" t="s">
        <v>451</v>
      </c>
      <c r="F96" s="6" t="s">
        <v>488</v>
      </c>
      <c r="G96" s="6" t="s">
        <v>489</v>
      </c>
      <c r="H96" s="6" t="s">
        <v>490</v>
      </c>
      <c r="I96" s="6"/>
      <c r="J96" s="6" t="s">
        <v>23</v>
      </c>
      <c r="K96" s="6" t="s">
        <v>39</v>
      </c>
      <c r="L96" s="6"/>
      <c r="M96" s="6"/>
      <c r="N96" s="6"/>
    </row>
    <row r="97" customFormat="false" ht="90" hidden="false" customHeight="true" outlineLevel="0" collapsed="false">
      <c r="A97" s="6" t="n">
        <v>8</v>
      </c>
      <c r="B97" s="6" t="s">
        <v>491</v>
      </c>
      <c r="C97" s="6" t="s">
        <v>492</v>
      </c>
      <c r="D97" s="6" t="s">
        <v>493</v>
      </c>
      <c r="E97" s="6" t="s">
        <v>451</v>
      </c>
      <c r="F97" s="6" t="s">
        <v>494</v>
      </c>
      <c r="G97" s="6" t="s">
        <v>495</v>
      </c>
      <c r="H97" s="6" t="s">
        <v>496</v>
      </c>
      <c r="I97" s="6"/>
      <c r="J97" s="6" t="s">
        <v>23</v>
      </c>
      <c r="K97" s="6" t="s">
        <v>32</v>
      </c>
      <c r="L97" s="6"/>
      <c r="M97" s="6"/>
      <c r="N97" s="6"/>
    </row>
    <row r="98" customFormat="false" ht="90" hidden="false" customHeight="true" outlineLevel="0" collapsed="false">
      <c r="A98" s="6" t="n">
        <v>9</v>
      </c>
      <c r="B98" s="6" t="s">
        <v>497</v>
      </c>
      <c r="C98" s="6" t="s">
        <v>498</v>
      </c>
      <c r="D98" s="6" t="s">
        <v>499</v>
      </c>
      <c r="E98" s="6" t="s">
        <v>451</v>
      </c>
      <c r="F98" s="6" t="s">
        <v>500</v>
      </c>
      <c r="G98" s="6" t="s">
        <v>501</v>
      </c>
      <c r="H98" s="6" t="s">
        <v>502</v>
      </c>
      <c r="I98" s="6"/>
      <c r="J98" s="6" t="s">
        <v>23</v>
      </c>
      <c r="K98" s="6" t="s">
        <v>24</v>
      </c>
      <c r="L98" s="6"/>
      <c r="M98" s="6"/>
      <c r="N98" s="6" t="s">
        <v>287</v>
      </c>
    </row>
    <row r="99" customFormat="false" ht="90" hidden="false" customHeight="true" outlineLevel="0" collapsed="false">
      <c r="A99" s="6" t="n">
        <v>10</v>
      </c>
      <c r="B99" s="6" t="s">
        <v>503</v>
      </c>
      <c r="C99" s="6" t="s">
        <v>504</v>
      </c>
      <c r="D99" s="6" t="s">
        <v>505</v>
      </c>
      <c r="E99" s="6" t="s">
        <v>506</v>
      </c>
      <c r="F99" s="6" t="s">
        <v>507</v>
      </c>
      <c r="G99" s="6" t="s">
        <v>508</v>
      </c>
      <c r="H99" s="6" t="s">
        <v>509</v>
      </c>
      <c r="I99" s="6"/>
      <c r="J99" s="6" t="s">
        <v>53</v>
      </c>
      <c r="K99" s="6" t="s">
        <v>39</v>
      </c>
      <c r="L99" s="6"/>
      <c r="M99" s="6"/>
      <c r="N99" s="6"/>
    </row>
    <row r="101" customFormat="false" ht="19.5" hidden="false" customHeight="true" outlineLevel="0" collapsed="false">
      <c r="A101" s="4" t="s">
        <v>510</v>
      </c>
      <c r="B101" s="4"/>
      <c r="C101" s="4"/>
      <c r="D101" s="4"/>
      <c r="E101" s="4"/>
      <c r="F101" s="4"/>
      <c r="G101" s="4"/>
      <c r="H101" s="4"/>
      <c r="I101" s="4"/>
      <c r="J101" s="4"/>
      <c r="K101" s="4"/>
      <c r="L101" s="4"/>
      <c r="M101" s="4"/>
      <c r="N101" s="4"/>
    </row>
    <row r="102" customFormat="false" ht="21.75" hidden="false" customHeight="true" outlineLevel="0" collapsed="false">
      <c r="A102" s="5" t="s">
        <v>3</v>
      </c>
      <c r="B102" s="5" t="s">
        <v>4</v>
      </c>
      <c r="C102" s="5" t="s">
        <v>5</v>
      </c>
      <c r="D102" s="5" t="s">
        <v>6</v>
      </c>
      <c r="E102" s="5" t="s">
        <v>7</v>
      </c>
      <c r="F102" s="5" t="s">
        <v>8</v>
      </c>
      <c r="G102" s="5" t="s">
        <v>9</v>
      </c>
      <c r="H102" s="5" t="s">
        <v>10</v>
      </c>
      <c r="I102" s="5" t="s">
        <v>11</v>
      </c>
      <c r="J102" s="5" t="s">
        <v>12</v>
      </c>
      <c r="K102" s="5" t="s">
        <v>13</v>
      </c>
      <c r="L102" s="5" t="s">
        <v>14</v>
      </c>
      <c r="M102" s="5" t="s">
        <v>15</v>
      </c>
      <c r="N102" s="5" t="s">
        <v>16</v>
      </c>
    </row>
    <row r="103" customFormat="false" ht="90" hidden="false" customHeight="true" outlineLevel="0" collapsed="false">
      <c r="A103" s="6" t="n">
        <v>1</v>
      </c>
      <c r="B103" s="6" t="s">
        <v>511</v>
      </c>
      <c r="C103" s="6" t="s">
        <v>512</v>
      </c>
      <c r="D103" s="6" t="s">
        <v>513</v>
      </c>
      <c r="E103" s="6" t="s">
        <v>514</v>
      </c>
      <c r="F103" s="6" t="s">
        <v>515</v>
      </c>
      <c r="G103" s="6" t="s">
        <v>96</v>
      </c>
      <c r="H103" s="6" t="s">
        <v>516</v>
      </c>
      <c r="I103" s="6"/>
      <c r="J103" s="6" t="s">
        <v>23</v>
      </c>
      <c r="K103" s="6" t="s">
        <v>39</v>
      </c>
      <c r="L103" s="6"/>
      <c r="M103" s="6"/>
      <c r="N103" s="6"/>
    </row>
    <row r="104" customFormat="false" ht="90" hidden="false" customHeight="true" outlineLevel="0" collapsed="false">
      <c r="A104" s="6" t="n">
        <v>2</v>
      </c>
      <c r="B104" s="6" t="s">
        <v>517</v>
      </c>
      <c r="C104" s="6" t="s">
        <v>518</v>
      </c>
      <c r="D104" s="6" t="s">
        <v>519</v>
      </c>
      <c r="E104" s="6" t="s">
        <v>514</v>
      </c>
      <c r="F104" s="6" t="s">
        <v>520</v>
      </c>
      <c r="G104" s="6" t="s">
        <v>521</v>
      </c>
      <c r="H104" s="6" t="s">
        <v>522</v>
      </c>
      <c r="I104" s="6"/>
      <c r="J104" s="6" t="s">
        <v>23</v>
      </c>
      <c r="K104" s="6" t="s">
        <v>39</v>
      </c>
      <c r="L104" s="6"/>
      <c r="M104" s="6"/>
      <c r="N104" s="6"/>
    </row>
    <row r="105" customFormat="false" ht="90" hidden="false" customHeight="true" outlineLevel="0" collapsed="false">
      <c r="A105" s="6" t="n">
        <v>3</v>
      </c>
      <c r="B105" s="6" t="s">
        <v>523</v>
      </c>
      <c r="C105" s="6" t="s">
        <v>524</v>
      </c>
      <c r="D105" s="6" t="s">
        <v>525</v>
      </c>
      <c r="E105" s="6" t="s">
        <v>514</v>
      </c>
      <c r="F105" s="6" t="s">
        <v>526</v>
      </c>
      <c r="G105" s="6" t="s">
        <v>527</v>
      </c>
      <c r="H105" s="6" t="s">
        <v>528</v>
      </c>
      <c r="I105" s="6"/>
      <c r="J105" s="6" t="s">
        <v>53</v>
      </c>
      <c r="K105" s="6" t="s">
        <v>39</v>
      </c>
      <c r="L105" s="6"/>
      <c r="M105" s="6"/>
      <c r="N105" s="6"/>
    </row>
    <row r="106" customFormat="false" ht="90" hidden="false" customHeight="true" outlineLevel="0" collapsed="false">
      <c r="A106" s="6" t="n">
        <v>4</v>
      </c>
      <c r="B106" s="6" t="s">
        <v>529</v>
      </c>
      <c r="C106" s="6" t="s">
        <v>530</v>
      </c>
      <c r="D106" s="6" t="s">
        <v>531</v>
      </c>
      <c r="E106" s="6" t="s">
        <v>514</v>
      </c>
      <c r="F106" s="6" t="s">
        <v>532</v>
      </c>
      <c r="G106" s="6" t="s">
        <v>533</v>
      </c>
      <c r="H106" s="6" t="s">
        <v>534</v>
      </c>
      <c r="I106" s="6"/>
      <c r="J106" s="6" t="s">
        <v>23</v>
      </c>
      <c r="K106" s="6" t="s">
        <v>32</v>
      </c>
      <c r="L106" s="6"/>
      <c r="M106" s="6"/>
      <c r="N106" s="6"/>
    </row>
    <row r="107" customFormat="false" ht="90" hidden="false" customHeight="true" outlineLevel="0" collapsed="false">
      <c r="A107" s="6" t="n">
        <v>5</v>
      </c>
      <c r="B107" s="6" t="s">
        <v>535</v>
      </c>
      <c r="C107" s="6" t="s">
        <v>536</v>
      </c>
      <c r="D107" s="6" t="s">
        <v>537</v>
      </c>
      <c r="E107" s="6" t="s">
        <v>514</v>
      </c>
      <c r="F107" s="6" t="s">
        <v>538</v>
      </c>
      <c r="G107" s="6" t="s">
        <v>539</v>
      </c>
      <c r="H107" s="6" t="s">
        <v>540</v>
      </c>
      <c r="I107" s="6"/>
      <c r="J107" s="6" t="s">
        <v>23</v>
      </c>
      <c r="K107" s="6" t="s">
        <v>32</v>
      </c>
      <c r="L107" s="6"/>
      <c r="M107" s="6"/>
      <c r="N107" s="6"/>
    </row>
    <row r="108" customFormat="false" ht="90" hidden="false" customHeight="true" outlineLevel="0" collapsed="false">
      <c r="A108" s="6" t="n">
        <v>6</v>
      </c>
      <c r="B108" s="6" t="s">
        <v>541</v>
      </c>
      <c r="C108" s="6" t="s">
        <v>542</v>
      </c>
      <c r="D108" s="6" t="s">
        <v>543</v>
      </c>
      <c r="E108" s="6" t="s">
        <v>514</v>
      </c>
      <c r="F108" s="6" t="s">
        <v>544</v>
      </c>
      <c r="G108" s="6" t="s">
        <v>45</v>
      </c>
      <c r="H108" s="6" t="s">
        <v>545</v>
      </c>
      <c r="I108" s="6"/>
      <c r="J108" s="6" t="s">
        <v>53</v>
      </c>
      <c r="K108" s="6" t="s">
        <v>39</v>
      </c>
      <c r="L108" s="6"/>
      <c r="M108" s="6"/>
      <c r="N108" s="6" t="s">
        <v>110</v>
      </c>
    </row>
    <row r="109" customFormat="false" ht="90" hidden="false" customHeight="true" outlineLevel="0" collapsed="false">
      <c r="A109" s="6" t="n">
        <v>7</v>
      </c>
      <c r="B109" s="6" t="s">
        <v>546</v>
      </c>
      <c r="C109" s="6" t="s">
        <v>547</v>
      </c>
      <c r="D109" s="6" t="s">
        <v>548</v>
      </c>
      <c r="E109" s="6" t="s">
        <v>514</v>
      </c>
      <c r="F109" s="6" t="s">
        <v>549</v>
      </c>
      <c r="G109" s="6" t="s">
        <v>550</v>
      </c>
      <c r="H109" s="6" t="s">
        <v>551</v>
      </c>
      <c r="I109" s="6"/>
      <c r="J109" s="6" t="s">
        <v>23</v>
      </c>
      <c r="K109" s="6" t="s">
        <v>32</v>
      </c>
      <c r="L109" s="6"/>
      <c r="M109" s="6"/>
      <c r="N109" s="6"/>
    </row>
    <row r="110" customFormat="false" ht="90" hidden="false" customHeight="true" outlineLevel="0" collapsed="false">
      <c r="A110" s="6" t="n">
        <v>8</v>
      </c>
      <c r="B110" s="6" t="s">
        <v>552</v>
      </c>
      <c r="C110" s="6" t="s">
        <v>553</v>
      </c>
      <c r="D110" s="6" t="s">
        <v>554</v>
      </c>
      <c r="E110" s="6" t="s">
        <v>514</v>
      </c>
      <c r="F110" s="6" t="s">
        <v>555</v>
      </c>
      <c r="G110" s="6" t="s">
        <v>556</v>
      </c>
      <c r="H110" s="6" t="s">
        <v>557</v>
      </c>
      <c r="I110" s="6"/>
      <c r="J110" s="6" t="s">
        <v>23</v>
      </c>
      <c r="K110" s="6" t="s">
        <v>32</v>
      </c>
      <c r="L110" s="6"/>
      <c r="M110" s="6"/>
      <c r="N110" s="6"/>
    </row>
    <row r="111" customFormat="false" ht="90" hidden="false" customHeight="true" outlineLevel="0" collapsed="false">
      <c r="A111" s="6" t="n">
        <v>9</v>
      </c>
      <c r="B111" s="6" t="s">
        <v>558</v>
      </c>
      <c r="C111" s="6" t="s">
        <v>559</v>
      </c>
      <c r="D111" s="6" t="s">
        <v>560</v>
      </c>
      <c r="E111" s="6" t="s">
        <v>514</v>
      </c>
      <c r="F111" s="6" t="s">
        <v>561</v>
      </c>
      <c r="G111" s="6" t="s">
        <v>527</v>
      </c>
      <c r="H111" s="6" t="s">
        <v>562</v>
      </c>
      <c r="I111" s="6"/>
      <c r="J111" s="6" t="s">
        <v>23</v>
      </c>
      <c r="K111" s="6" t="s">
        <v>32</v>
      </c>
      <c r="L111" s="6"/>
      <c r="M111" s="6"/>
      <c r="N111" s="6"/>
    </row>
    <row r="112" customFormat="false" ht="90" hidden="false" customHeight="true" outlineLevel="0" collapsed="false">
      <c r="A112" s="6" t="n">
        <v>10</v>
      </c>
      <c r="B112" s="6" t="s">
        <v>563</v>
      </c>
      <c r="C112" s="6" t="s">
        <v>564</v>
      </c>
      <c r="D112" s="6" t="s">
        <v>565</v>
      </c>
      <c r="E112" s="6" t="s">
        <v>514</v>
      </c>
      <c r="F112" s="6" t="s">
        <v>566</v>
      </c>
      <c r="G112" s="6" t="s">
        <v>567</v>
      </c>
      <c r="H112" s="6" t="s">
        <v>568</v>
      </c>
      <c r="I112" s="6"/>
      <c r="J112" s="6" t="s">
        <v>53</v>
      </c>
      <c r="K112" s="6" t="s">
        <v>32</v>
      </c>
      <c r="L112" s="6"/>
      <c r="M112" s="6"/>
      <c r="N112" s="6"/>
    </row>
    <row r="113" customFormat="false" ht="90" hidden="false" customHeight="true" outlineLevel="0" collapsed="false">
      <c r="A113" s="6" t="n">
        <v>11</v>
      </c>
      <c r="B113" s="6" t="s">
        <v>569</v>
      </c>
      <c r="C113" s="6" t="s">
        <v>570</v>
      </c>
      <c r="D113" s="6" t="s">
        <v>571</v>
      </c>
      <c r="E113" s="6" t="s">
        <v>514</v>
      </c>
      <c r="F113" s="6" t="s">
        <v>572</v>
      </c>
      <c r="G113" s="6" t="s">
        <v>573</v>
      </c>
      <c r="H113" s="6" t="s">
        <v>574</v>
      </c>
      <c r="I113" s="6"/>
      <c r="J113" s="6" t="s">
        <v>23</v>
      </c>
      <c r="K113" s="6" t="s">
        <v>32</v>
      </c>
      <c r="L113" s="6"/>
      <c r="M113" s="6"/>
      <c r="N113" s="6" t="s">
        <v>575</v>
      </c>
    </row>
    <row r="114" customFormat="false" ht="90" hidden="false" customHeight="true" outlineLevel="0" collapsed="false">
      <c r="A114" s="6" t="n">
        <v>12</v>
      </c>
      <c r="B114" s="6" t="s">
        <v>576</v>
      </c>
      <c r="C114" s="6" t="s">
        <v>577</v>
      </c>
      <c r="D114" s="6" t="s">
        <v>578</v>
      </c>
      <c r="E114" s="6" t="s">
        <v>514</v>
      </c>
      <c r="F114" s="6" t="s">
        <v>579</v>
      </c>
      <c r="G114" s="6" t="s">
        <v>580</v>
      </c>
      <c r="H114" s="6" t="s">
        <v>581</v>
      </c>
      <c r="I114" s="6"/>
      <c r="J114" s="6" t="s">
        <v>23</v>
      </c>
      <c r="K114" s="6" t="s">
        <v>32</v>
      </c>
      <c r="L114" s="6"/>
      <c r="M114" s="6"/>
      <c r="N114" s="6"/>
    </row>
    <row r="115" customFormat="false" ht="90" hidden="false" customHeight="true" outlineLevel="0" collapsed="false">
      <c r="A115" s="6" t="n">
        <v>13</v>
      </c>
      <c r="B115" s="6" t="s">
        <v>582</v>
      </c>
      <c r="C115" s="6" t="s">
        <v>583</v>
      </c>
      <c r="D115" s="6" t="s">
        <v>584</v>
      </c>
      <c r="E115" s="6" t="s">
        <v>514</v>
      </c>
      <c r="F115" s="6" t="s">
        <v>585</v>
      </c>
      <c r="G115" s="6" t="s">
        <v>586</v>
      </c>
      <c r="H115" s="6" t="s">
        <v>587</v>
      </c>
      <c r="I115" s="6"/>
      <c r="J115" s="6" t="s">
        <v>23</v>
      </c>
      <c r="K115" s="6" t="s">
        <v>32</v>
      </c>
      <c r="L115" s="6"/>
      <c r="M115" s="6"/>
      <c r="N115" s="6"/>
    </row>
    <row r="116" customFormat="false" ht="90" hidden="false" customHeight="true" outlineLevel="0" collapsed="false">
      <c r="A116" s="6" t="n">
        <v>14</v>
      </c>
      <c r="B116" s="6" t="s">
        <v>588</v>
      </c>
      <c r="C116" s="6" t="s">
        <v>589</v>
      </c>
      <c r="D116" s="6" t="s">
        <v>590</v>
      </c>
      <c r="E116" s="6" t="s">
        <v>591</v>
      </c>
      <c r="F116" s="6" t="s">
        <v>592</v>
      </c>
      <c r="G116" s="6" t="s">
        <v>593</v>
      </c>
      <c r="H116" s="6" t="s">
        <v>594</v>
      </c>
      <c r="I116" s="6"/>
      <c r="J116" s="6" t="s">
        <v>23</v>
      </c>
      <c r="K116" s="6" t="s">
        <v>39</v>
      </c>
      <c r="L116" s="6"/>
      <c r="M116" s="6"/>
      <c r="N116" s="6"/>
    </row>
    <row r="118" customFormat="false" ht="19.5" hidden="false" customHeight="true" outlineLevel="0" collapsed="false">
      <c r="A118" s="4" t="s">
        <v>595</v>
      </c>
      <c r="B118" s="4"/>
      <c r="C118" s="4"/>
      <c r="D118" s="4"/>
      <c r="E118" s="4"/>
      <c r="F118" s="4"/>
      <c r="G118" s="4"/>
      <c r="H118" s="4"/>
      <c r="I118" s="4"/>
      <c r="J118" s="4"/>
      <c r="K118" s="4"/>
      <c r="L118" s="4"/>
      <c r="M118" s="4"/>
      <c r="N118" s="4"/>
    </row>
    <row r="119" customFormat="false" ht="21.75" hidden="false" customHeight="true" outlineLevel="0" collapsed="false">
      <c r="A119" s="5" t="s">
        <v>3</v>
      </c>
      <c r="B119" s="5" t="s">
        <v>4</v>
      </c>
      <c r="C119" s="5" t="s">
        <v>5</v>
      </c>
      <c r="D119" s="5" t="s">
        <v>6</v>
      </c>
      <c r="E119" s="5" t="s">
        <v>7</v>
      </c>
      <c r="F119" s="5" t="s">
        <v>8</v>
      </c>
      <c r="G119" s="5" t="s">
        <v>9</v>
      </c>
      <c r="H119" s="5" t="s">
        <v>10</v>
      </c>
      <c r="I119" s="5" t="s">
        <v>11</v>
      </c>
      <c r="J119" s="5" t="s">
        <v>12</v>
      </c>
      <c r="K119" s="5" t="s">
        <v>13</v>
      </c>
      <c r="L119" s="5" t="s">
        <v>14</v>
      </c>
      <c r="M119" s="5" t="s">
        <v>15</v>
      </c>
      <c r="N119" s="5" t="s">
        <v>16</v>
      </c>
    </row>
    <row r="120" customFormat="false" ht="90" hidden="false" customHeight="true" outlineLevel="0" collapsed="false">
      <c r="A120" s="6" t="n">
        <v>1</v>
      </c>
      <c r="B120" s="6" t="s">
        <v>596</v>
      </c>
      <c r="C120" s="6" t="s">
        <v>597</v>
      </c>
      <c r="D120" s="6" t="s">
        <v>598</v>
      </c>
      <c r="E120" s="6" t="s">
        <v>599</v>
      </c>
      <c r="F120" s="6" t="s">
        <v>600</v>
      </c>
      <c r="G120" s="6" t="s">
        <v>601</v>
      </c>
      <c r="H120" s="6" t="s">
        <v>602</v>
      </c>
      <c r="I120" s="6"/>
      <c r="J120" s="6" t="s">
        <v>53</v>
      </c>
      <c r="K120" s="6" t="s">
        <v>39</v>
      </c>
      <c r="L120" s="6"/>
      <c r="M120" s="6"/>
      <c r="N120" s="6"/>
    </row>
    <row r="121" customFormat="false" ht="90" hidden="false" customHeight="true" outlineLevel="0" collapsed="false">
      <c r="A121" s="6" t="n">
        <v>2</v>
      </c>
      <c r="B121" s="6" t="s">
        <v>603</v>
      </c>
      <c r="C121" s="6" t="s">
        <v>604</v>
      </c>
      <c r="D121" s="6" t="s">
        <v>605</v>
      </c>
      <c r="E121" s="6" t="s">
        <v>599</v>
      </c>
      <c r="F121" s="6" t="s">
        <v>606</v>
      </c>
      <c r="G121" s="6" t="s">
        <v>607</v>
      </c>
      <c r="H121" s="6" t="s">
        <v>608</v>
      </c>
      <c r="I121" s="6"/>
      <c r="J121" s="6" t="s">
        <v>23</v>
      </c>
      <c r="K121" s="6" t="s">
        <v>39</v>
      </c>
      <c r="L121" s="6"/>
      <c r="M121" s="6"/>
      <c r="N121" s="6"/>
    </row>
    <row r="122" customFormat="false" ht="90" hidden="false" customHeight="true" outlineLevel="0" collapsed="false">
      <c r="A122" s="6" t="n">
        <v>3</v>
      </c>
      <c r="B122" s="6" t="s">
        <v>609</v>
      </c>
      <c r="C122" s="6" t="s">
        <v>610</v>
      </c>
      <c r="D122" s="6" t="s">
        <v>611</v>
      </c>
      <c r="E122" s="6" t="s">
        <v>599</v>
      </c>
      <c r="F122" s="6" t="s">
        <v>612</v>
      </c>
      <c r="G122" s="6" t="s">
        <v>613</v>
      </c>
      <c r="H122" s="6" t="s">
        <v>614</v>
      </c>
      <c r="I122" s="6"/>
      <c r="J122" s="6" t="s">
        <v>23</v>
      </c>
      <c r="K122" s="6" t="s">
        <v>39</v>
      </c>
      <c r="L122" s="6"/>
      <c r="M122" s="6"/>
      <c r="N122" s="6"/>
    </row>
    <row r="123" customFormat="false" ht="90" hidden="false" customHeight="true" outlineLevel="0" collapsed="false">
      <c r="A123" s="6" t="n">
        <v>4</v>
      </c>
      <c r="B123" s="6" t="s">
        <v>615</v>
      </c>
      <c r="C123" s="6" t="s">
        <v>616</v>
      </c>
      <c r="D123" s="6" t="s">
        <v>617</v>
      </c>
      <c r="E123" s="6" t="s">
        <v>599</v>
      </c>
      <c r="F123" s="6" t="s">
        <v>618</v>
      </c>
      <c r="G123" s="6" t="s">
        <v>619</v>
      </c>
      <c r="H123" s="6" t="s">
        <v>620</v>
      </c>
      <c r="I123" s="6"/>
      <c r="J123" s="6" t="s">
        <v>23</v>
      </c>
      <c r="K123" s="6" t="s">
        <v>32</v>
      </c>
      <c r="L123" s="6"/>
      <c r="M123" s="6"/>
      <c r="N123" s="6"/>
    </row>
    <row r="124" customFormat="false" ht="90" hidden="false" customHeight="true" outlineLevel="0" collapsed="false">
      <c r="A124" s="6" t="n">
        <v>5</v>
      </c>
      <c r="B124" s="6" t="s">
        <v>621</v>
      </c>
      <c r="C124" s="6" t="s">
        <v>622</v>
      </c>
      <c r="D124" s="6" t="s">
        <v>623</v>
      </c>
      <c r="E124" s="6" t="s">
        <v>599</v>
      </c>
      <c r="F124" s="6" t="s">
        <v>624</v>
      </c>
      <c r="G124" s="6" t="s">
        <v>567</v>
      </c>
      <c r="H124" s="6" t="s">
        <v>625</v>
      </c>
      <c r="I124" s="6"/>
      <c r="J124" s="6" t="s">
        <v>23</v>
      </c>
      <c r="K124" s="6" t="s">
        <v>32</v>
      </c>
      <c r="L124" s="6"/>
      <c r="M124" s="6"/>
      <c r="N124" s="6"/>
    </row>
    <row r="125" customFormat="false" ht="90" hidden="false" customHeight="true" outlineLevel="0" collapsed="false">
      <c r="A125" s="6" t="n">
        <v>6</v>
      </c>
      <c r="B125" s="6" t="s">
        <v>626</v>
      </c>
      <c r="C125" s="6" t="s">
        <v>627</v>
      </c>
      <c r="D125" s="6" t="s">
        <v>628</v>
      </c>
      <c r="E125" s="6" t="s">
        <v>599</v>
      </c>
      <c r="F125" s="6" t="s">
        <v>629</v>
      </c>
      <c r="G125" s="6" t="s">
        <v>630</v>
      </c>
      <c r="H125" s="6" t="s">
        <v>631</v>
      </c>
      <c r="I125" s="6"/>
      <c r="J125" s="6" t="s">
        <v>53</v>
      </c>
      <c r="K125" s="6" t="s">
        <v>32</v>
      </c>
      <c r="L125" s="6"/>
      <c r="M125" s="6"/>
      <c r="N125" s="6"/>
    </row>
    <row r="126" customFormat="false" ht="90" hidden="false" customHeight="true" outlineLevel="0" collapsed="false">
      <c r="A126" s="6" t="n">
        <v>7</v>
      </c>
      <c r="B126" s="6" t="s">
        <v>632</v>
      </c>
      <c r="C126" s="6" t="s">
        <v>633</v>
      </c>
      <c r="D126" s="6" t="s">
        <v>634</v>
      </c>
      <c r="E126" s="6" t="s">
        <v>599</v>
      </c>
      <c r="F126" s="6" t="s">
        <v>635</v>
      </c>
      <c r="G126" s="6" t="s">
        <v>45</v>
      </c>
      <c r="H126" s="6" t="s">
        <v>636</v>
      </c>
      <c r="I126" s="6"/>
      <c r="J126" s="6" t="s">
        <v>23</v>
      </c>
      <c r="K126" s="6" t="s">
        <v>39</v>
      </c>
      <c r="L126" s="6"/>
      <c r="M126" s="6"/>
      <c r="N126" s="6" t="s">
        <v>110</v>
      </c>
    </row>
    <row r="127" customFormat="false" ht="90" hidden="false" customHeight="true" outlineLevel="0" collapsed="false">
      <c r="A127" s="6" t="n">
        <v>8</v>
      </c>
      <c r="B127" s="6" t="s">
        <v>637</v>
      </c>
      <c r="C127" s="6" t="s">
        <v>638</v>
      </c>
      <c r="D127" s="6" t="s">
        <v>639</v>
      </c>
      <c r="E127" s="6" t="s">
        <v>599</v>
      </c>
      <c r="F127" s="6" t="s">
        <v>640</v>
      </c>
      <c r="G127" s="6" t="s">
        <v>641</v>
      </c>
      <c r="H127" s="6" t="s">
        <v>642</v>
      </c>
      <c r="I127" s="6"/>
      <c r="J127" s="6" t="s">
        <v>23</v>
      </c>
      <c r="K127" s="6" t="s">
        <v>32</v>
      </c>
      <c r="L127" s="6"/>
      <c r="M127" s="6"/>
      <c r="N127" s="6"/>
    </row>
    <row r="128" customFormat="false" ht="90" hidden="false" customHeight="true" outlineLevel="0" collapsed="false">
      <c r="A128" s="6" t="n">
        <v>9</v>
      </c>
      <c r="B128" s="6" t="s">
        <v>643</v>
      </c>
      <c r="C128" s="6" t="s">
        <v>644</v>
      </c>
      <c r="D128" s="6" t="s">
        <v>645</v>
      </c>
      <c r="E128" s="6" t="s">
        <v>599</v>
      </c>
      <c r="F128" s="6" t="s">
        <v>646</v>
      </c>
      <c r="G128" s="6" t="s">
        <v>647</v>
      </c>
      <c r="H128" s="6" t="s">
        <v>648</v>
      </c>
      <c r="I128" s="6"/>
      <c r="J128" s="6" t="s">
        <v>23</v>
      </c>
      <c r="K128" s="6" t="s">
        <v>32</v>
      </c>
      <c r="L128" s="6"/>
      <c r="M128" s="6"/>
      <c r="N128" s="6"/>
    </row>
    <row r="129" customFormat="false" ht="90" hidden="false" customHeight="true" outlineLevel="0" collapsed="false">
      <c r="A129" s="6" t="n">
        <v>10</v>
      </c>
      <c r="B129" s="6" t="s">
        <v>649</v>
      </c>
      <c r="C129" s="6" t="s">
        <v>650</v>
      </c>
      <c r="D129" s="6" t="s">
        <v>651</v>
      </c>
      <c r="E129" s="6" t="s">
        <v>652</v>
      </c>
      <c r="F129" s="6" t="s">
        <v>653</v>
      </c>
      <c r="G129" s="6" t="s">
        <v>654</v>
      </c>
      <c r="H129" s="6" t="s">
        <v>655</v>
      </c>
      <c r="I129" s="6"/>
      <c r="J129" s="6" t="s">
        <v>23</v>
      </c>
      <c r="K129" s="6" t="s">
        <v>39</v>
      </c>
      <c r="L129" s="6"/>
      <c r="M129" s="6"/>
      <c r="N129" s="6"/>
    </row>
    <row r="131" customFormat="false" ht="19.5" hidden="false" customHeight="true" outlineLevel="0" collapsed="false">
      <c r="A131" s="4" t="s">
        <v>656</v>
      </c>
      <c r="B131" s="4"/>
      <c r="C131" s="4"/>
      <c r="D131" s="4"/>
      <c r="E131" s="4"/>
      <c r="F131" s="4"/>
      <c r="G131" s="4"/>
      <c r="H131" s="4"/>
      <c r="I131" s="4"/>
      <c r="J131" s="4"/>
      <c r="K131" s="4"/>
      <c r="L131" s="4"/>
      <c r="M131" s="4"/>
      <c r="N131" s="4"/>
    </row>
    <row r="132" customFormat="false" ht="21.75" hidden="false" customHeight="true" outlineLevel="0" collapsed="false">
      <c r="A132" s="5" t="s">
        <v>3</v>
      </c>
      <c r="B132" s="5" t="s">
        <v>4</v>
      </c>
      <c r="C132" s="5" t="s">
        <v>5</v>
      </c>
      <c r="D132" s="5" t="s">
        <v>6</v>
      </c>
      <c r="E132" s="5" t="s">
        <v>7</v>
      </c>
      <c r="F132" s="5" t="s">
        <v>8</v>
      </c>
      <c r="G132" s="5" t="s">
        <v>9</v>
      </c>
      <c r="H132" s="5" t="s">
        <v>10</v>
      </c>
      <c r="I132" s="5" t="s">
        <v>11</v>
      </c>
      <c r="J132" s="5" t="s">
        <v>12</v>
      </c>
      <c r="K132" s="5" t="s">
        <v>13</v>
      </c>
      <c r="L132" s="5" t="s">
        <v>14</v>
      </c>
      <c r="M132" s="5" t="s">
        <v>15</v>
      </c>
      <c r="N132" s="5" t="s">
        <v>16</v>
      </c>
    </row>
    <row r="133" customFormat="false" ht="90" hidden="false" customHeight="true" outlineLevel="0" collapsed="false">
      <c r="A133" s="6" t="n">
        <v>1</v>
      </c>
      <c r="B133" s="6" t="s">
        <v>657</v>
      </c>
      <c r="C133" s="6" t="s">
        <v>658</v>
      </c>
      <c r="D133" s="6" t="s">
        <v>659</v>
      </c>
      <c r="E133" s="6" t="s">
        <v>660</v>
      </c>
      <c r="F133" s="6" t="s">
        <v>661</v>
      </c>
      <c r="G133" s="6" t="s">
        <v>30</v>
      </c>
      <c r="H133" s="6" t="s">
        <v>662</v>
      </c>
      <c r="I133" s="6"/>
      <c r="J133" s="6" t="s">
        <v>23</v>
      </c>
      <c r="K133" s="6" t="s">
        <v>39</v>
      </c>
      <c r="L133" s="6"/>
      <c r="M133" s="6"/>
      <c r="N133" s="6"/>
    </row>
    <row r="134" customFormat="false" ht="90" hidden="false" customHeight="true" outlineLevel="0" collapsed="false">
      <c r="A134" s="6" t="n">
        <v>2</v>
      </c>
      <c r="B134" s="6" t="s">
        <v>663</v>
      </c>
      <c r="C134" s="6" t="s">
        <v>664</v>
      </c>
      <c r="D134" s="6" t="s">
        <v>665</v>
      </c>
      <c r="E134" s="6" t="s">
        <v>660</v>
      </c>
      <c r="F134" s="6" t="s">
        <v>666</v>
      </c>
      <c r="G134" s="6" t="s">
        <v>667</v>
      </c>
      <c r="H134" s="6" t="s">
        <v>668</v>
      </c>
      <c r="I134" s="6"/>
      <c r="J134" s="6" t="s">
        <v>23</v>
      </c>
      <c r="K134" s="6" t="s">
        <v>39</v>
      </c>
      <c r="L134" s="6"/>
      <c r="M134" s="6"/>
      <c r="N134" s="6"/>
    </row>
    <row r="135" customFormat="false" ht="90" hidden="false" customHeight="true" outlineLevel="0" collapsed="false">
      <c r="A135" s="6" t="n">
        <v>3</v>
      </c>
      <c r="B135" s="6" t="s">
        <v>669</v>
      </c>
      <c r="C135" s="6" t="s">
        <v>670</v>
      </c>
      <c r="D135" s="6" t="s">
        <v>671</v>
      </c>
      <c r="E135" s="6" t="s">
        <v>660</v>
      </c>
      <c r="F135" s="6" t="s">
        <v>672</v>
      </c>
      <c r="G135" s="6" t="s">
        <v>673</v>
      </c>
      <c r="H135" s="6" t="s">
        <v>674</v>
      </c>
      <c r="I135" s="6"/>
      <c r="J135" s="6" t="s">
        <v>23</v>
      </c>
      <c r="K135" s="6" t="s">
        <v>32</v>
      </c>
      <c r="L135" s="6"/>
      <c r="M135" s="6"/>
      <c r="N135" s="6"/>
    </row>
    <row r="136" customFormat="false" ht="90" hidden="false" customHeight="true" outlineLevel="0" collapsed="false">
      <c r="A136" s="6" t="n">
        <v>4</v>
      </c>
      <c r="B136" s="6" t="s">
        <v>675</v>
      </c>
      <c r="C136" s="6" t="s">
        <v>676</v>
      </c>
      <c r="D136" s="6" t="s">
        <v>677</v>
      </c>
      <c r="E136" s="6" t="s">
        <v>660</v>
      </c>
      <c r="F136" s="6" t="s">
        <v>678</v>
      </c>
      <c r="G136" s="6" t="s">
        <v>679</v>
      </c>
      <c r="H136" s="6" t="s">
        <v>680</v>
      </c>
      <c r="I136" s="6"/>
      <c r="J136" s="6" t="s">
        <v>53</v>
      </c>
      <c r="K136" s="6" t="s">
        <v>32</v>
      </c>
      <c r="L136" s="6"/>
      <c r="M136" s="6"/>
      <c r="N136" s="6"/>
    </row>
    <row r="137" customFormat="false" ht="90" hidden="false" customHeight="true" outlineLevel="0" collapsed="false">
      <c r="A137" s="6" t="n">
        <v>5</v>
      </c>
      <c r="B137" s="6" t="s">
        <v>681</v>
      </c>
      <c r="C137" s="6" t="s">
        <v>682</v>
      </c>
      <c r="D137" s="6" t="s">
        <v>683</v>
      </c>
      <c r="E137" s="6" t="s">
        <v>660</v>
      </c>
      <c r="F137" s="6" t="s">
        <v>684</v>
      </c>
      <c r="G137" s="6" t="s">
        <v>685</v>
      </c>
      <c r="H137" s="6" t="s">
        <v>686</v>
      </c>
      <c r="I137" s="6"/>
      <c r="J137" s="6" t="s">
        <v>23</v>
      </c>
      <c r="K137" s="6" t="s">
        <v>39</v>
      </c>
      <c r="L137" s="6"/>
      <c r="M137" s="6"/>
      <c r="N137" s="6"/>
    </row>
    <row r="138" customFormat="false" ht="90" hidden="false" customHeight="true" outlineLevel="0" collapsed="false">
      <c r="A138" s="6" t="n">
        <v>6</v>
      </c>
      <c r="B138" s="6" t="s">
        <v>687</v>
      </c>
      <c r="C138" s="6" t="s">
        <v>688</v>
      </c>
      <c r="D138" s="6" t="s">
        <v>689</v>
      </c>
      <c r="E138" s="6" t="s">
        <v>660</v>
      </c>
      <c r="F138" s="6" t="s">
        <v>690</v>
      </c>
      <c r="G138" s="6" t="s">
        <v>691</v>
      </c>
      <c r="H138" s="6" t="s">
        <v>692</v>
      </c>
      <c r="I138" s="6"/>
      <c r="J138" s="6" t="s">
        <v>23</v>
      </c>
      <c r="K138" s="6" t="s">
        <v>32</v>
      </c>
      <c r="L138" s="6"/>
      <c r="M138" s="6"/>
      <c r="N138" s="6"/>
    </row>
    <row r="139" customFormat="false" ht="90" hidden="false" customHeight="true" outlineLevel="0" collapsed="false">
      <c r="A139" s="6" t="n">
        <v>7</v>
      </c>
      <c r="B139" s="6" t="s">
        <v>693</v>
      </c>
      <c r="C139" s="6" t="s">
        <v>694</v>
      </c>
      <c r="D139" s="6" t="s">
        <v>695</v>
      </c>
      <c r="E139" s="6" t="s">
        <v>660</v>
      </c>
      <c r="F139" s="6" t="s">
        <v>696</v>
      </c>
      <c r="G139" s="6" t="s">
        <v>30</v>
      </c>
      <c r="H139" s="6" t="s">
        <v>697</v>
      </c>
      <c r="I139" s="6"/>
      <c r="J139" s="6" t="s">
        <v>53</v>
      </c>
      <c r="K139" s="6" t="s">
        <v>32</v>
      </c>
      <c r="L139" s="6"/>
      <c r="M139" s="6"/>
      <c r="N139" s="6"/>
    </row>
    <row r="140" customFormat="false" ht="90" hidden="false" customHeight="true" outlineLevel="0" collapsed="false">
      <c r="A140" s="6" t="n">
        <v>8</v>
      </c>
      <c r="B140" s="6" t="s">
        <v>698</v>
      </c>
      <c r="C140" s="6" t="s">
        <v>699</v>
      </c>
      <c r="D140" s="6" t="s">
        <v>700</v>
      </c>
      <c r="E140" s="6" t="s">
        <v>660</v>
      </c>
      <c r="F140" s="6" t="s">
        <v>701</v>
      </c>
      <c r="G140" s="6" t="s">
        <v>702</v>
      </c>
      <c r="H140" s="6" t="s">
        <v>703</v>
      </c>
      <c r="I140" s="6"/>
      <c r="J140" s="6" t="s">
        <v>23</v>
      </c>
      <c r="K140" s="6" t="s">
        <v>32</v>
      </c>
      <c r="L140" s="6"/>
      <c r="M140" s="6"/>
      <c r="N140" s="6"/>
    </row>
    <row r="141" customFormat="false" ht="90" hidden="false" customHeight="true" outlineLevel="0" collapsed="false">
      <c r="A141" s="6" t="n">
        <v>9</v>
      </c>
      <c r="B141" s="6" t="s">
        <v>704</v>
      </c>
      <c r="C141" s="6" t="s">
        <v>705</v>
      </c>
      <c r="D141" s="6" t="s">
        <v>706</v>
      </c>
      <c r="E141" s="6" t="s">
        <v>660</v>
      </c>
      <c r="F141" s="6" t="s">
        <v>707</v>
      </c>
      <c r="G141" s="6" t="s">
        <v>708</v>
      </c>
      <c r="H141" s="6" t="s">
        <v>709</v>
      </c>
      <c r="I141" s="6"/>
      <c r="J141" s="6" t="s">
        <v>23</v>
      </c>
      <c r="K141" s="6" t="s">
        <v>39</v>
      </c>
      <c r="L141" s="6"/>
      <c r="M141" s="6"/>
      <c r="N141" s="6"/>
    </row>
    <row r="142" customFormat="false" ht="90" hidden="false" customHeight="true" outlineLevel="0" collapsed="false">
      <c r="A142" s="6" t="n">
        <v>10</v>
      </c>
      <c r="B142" s="6" t="s">
        <v>710</v>
      </c>
      <c r="C142" s="6" t="s">
        <v>711</v>
      </c>
      <c r="D142" s="6" t="s">
        <v>712</v>
      </c>
      <c r="E142" s="6" t="s">
        <v>660</v>
      </c>
      <c r="F142" s="6" t="s">
        <v>713</v>
      </c>
      <c r="G142" s="6" t="s">
        <v>420</v>
      </c>
      <c r="H142" s="6" t="s">
        <v>714</v>
      </c>
      <c r="I142" s="6"/>
      <c r="J142" s="6" t="s">
        <v>23</v>
      </c>
      <c r="K142" s="6" t="s">
        <v>32</v>
      </c>
      <c r="L142" s="6"/>
      <c r="M142" s="6"/>
      <c r="N142" s="6"/>
    </row>
    <row r="143" customFormat="false" ht="90" hidden="false" customHeight="true" outlineLevel="0" collapsed="false">
      <c r="A143" s="6" t="n">
        <v>11</v>
      </c>
      <c r="B143" s="6" t="s">
        <v>715</v>
      </c>
      <c r="C143" s="6" t="s">
        <v>716</v>
      </c>
      <c r="D143" s="6" t="s">
        <v>717</v>
      </c>
      <c r="E143" s="6" t="s">
        <v>718</v>
      </c>
      <c r="F143" s="6" t="s">
        <v>719</v>
      </c>
      <c r="G143" s="6" t="s">
        <v>720</v>
      </c>
      <c r="H143" s="6" t="s">
        <v>721</v>
      </c>
      <c r="I143" s="6"/>
      <c r="J143" s="6" t="s">
        <v>23</v>
      </c>
      <c r="K143" s="6" t="s">
        <v>39</v>
      </c>
      <c r="L143" s="6"/>
      <c r="M143" s="6"/>
      <c r="N143" s="6"/>
    </row>
    <row r="144" customFormat="false" ht="90" hidden="false" customHeight="true" outlineLevel="0" collapsed="false">
      <c r="A144" s="6" t="n">
        <v>12</v>
      </c>
      <c r="B144" s="6" t="s">
        <v>722</v>
      </c>
      <c r="C144" s="6" t="s">
        <v>723</v>
      </c>
      <c r="D144" s="6" t="s">
        <v>724</v>
      </c>
      <c r="E144" s="6" t="s">
        <v>660</v>
      </c>
      <c r="F144" s="6" t="s">
        <v>725</v>
      </c>
      <c r="G144" s="6" t="s">
        <v>685</v>
      </c>
      <c r="H144" s="6" t="s">
        <v>726</v>
      </c>
      <c r="I144" s="6"/>
      <c r="J144" s="6" t="s">
        <v>23</v>
      </c>
      <c r="K144" s="6" t="s">
        <v>32</v>
      </c>
      <c r="L144" s="6"/>
      <c r="M144" s="6"/>
      <c r="N144" s="6" t="s">
        <v>727</v>
      </c>
    </row>
    <row r="146" customFormat="false" ht="19.5" hidden="false" customHeight="true" outlineLevel="0" collapsed="false">
      <c r="A146" s="4" t="s">
        <v>728</v>
      </c>
      <c r="B146" s="4"/>
      <c r="C146" s="4"/>
      <c r="D146" s="4"/>
      <c r="E146" s="4"/>
      <c r="F146" s="4"/>
      <c r="G146" s="4"/>
      <c r="H146" s="4"/>
      <c r="I146" s="4"/>
      <c r="J146" s="4"/>
      <c r="K146" s="4"/>
      <c r="L146" s="4"/>
      <c r="M146" s="4"/>
      <c r="N146" s="4"/>
    </row>
    <row r="147" customFormat="false" ht="21.75" hidden="false" customHeight="true" outlineLevel="0" collapsed="false">
      <c r="A147" s="5" t="s">
        <v>3</v>
      </c>
      <c r="B147" s="5" t="s">
        <v>4</v>
      </c>
      <c r="C147" s="5" t="s">
        <v>5</v>
      </c>
      <c r="D147" s="5" t="s">
        <v>6</v>
      </c>
      <c r="E147" s="5" t="s">
        <v>7</v>
      </c>
      <c r="F147" s="5" t="s">
        <v>8</v>
      </c>
      <c r="G147" s="5" t="s">
        <v>9</v>
      </c>
      <c r="H147" s="5" t="s">
        <v>10</v>
      </c>
      <c r="I147" s="5" t="s">
        <v>11</v>
      </c>
      <c r="J147" s="5" t="s">
        <v>12</v>
      </c>
      <c r="K147" s="5" t="s">
        <v>13</v>
      </c>
      <c r="L147" s="5" t="s">
        <v>14</v>
      </c>
      <c r="M147" s="5" t="s">
        <v>15</v>
      </c>
      <c r="N147" s="5" t="s">
        <v>16</v>
      </c>
    </row>
    <row r="148" customFormat="false" ht="90" hidden="false" customHeight="true" outlineLevel="0" collapsed="false">
      <c r="A148" s="6" t="n">
        <v>1</v>
      </c>
      <c r="B148" s="6" t="s">
        <v>729</v>
      </c>
      <c r="C148" s="6" t="s">
        <v>730</v>
      </c>
      <c r="D148" s="6" t="s">
        <v>731</v>
      </c>
      <c r="E148" s="6" t="s">
        <v>732</v>
      </c>
      <c r="F148" s="6" t="s">
        <v>733</v>
      </c>
      <c r="G148" s="6" t="s">
        <v>30</v>
      </c>
      <c r="H148" s="6" t="s">
        <v>734</v>
      </c>
      <c r="I148" s="6"/>
      <c r="J148" s="6" t="s">
        <v>23</v>
      </c>
      <c r="K148" s="6" t="s">
        <v>24</v>
      </c>
      <c r="L148" s="6"/>
      <c r="M148" s="6"/>
      <c r="N148" s="6" t="s">
        <v>735</v>
      </c>
    </row>
    <row r="149" customFormat="false" ht="90" hidden="false" customHeight="true" outlineLevel="0" collapsed="false">
      <c r="A149" s="6" t="n">
        <v>2</v>
      </c>
      <c r="B149" s="6" t="s">
        <v>736</v>
      </c>
      <c r="C149" s="6" t="s">
        <v>737</v>
      </c>
      <c r="D149" s="6" t="s">
        <v>738</v>
      </c>
      <c r="E149" s="6" t="s">
        <v>732</v>
      </c>
      <c r="F149" s="6" t="s">
        <v>739</v>
      </c>
      <c r="G149" s="6" t="s">
        <v>740</v>
      </c>
      <c r="H149" s="6" t="s">
        <v>741</v>
      </c>
      <c r="I149" s="6"/>
      <c r="J149" s="6" t="s">
        <v>23</v>
      </c>
      <c r="K149" s="6" t="s">
        <v>39</v>
      </c>
      <c r="L149" s="6"/>
      <c r="M149" s="6"/>
      <c r="N149" s="6"/>
    </row>
    <row r="150" customFormat="false" ht="90" hidden="false" customHeight="true" outlineLevel="0" collapsed="false">
      <c r="A150" s="6" t="n">
        <v>3</v>
      </c>
      <c r="B150" s="6" t="s">
        <v>742</v>
      </c>
      <c r="C150" s="6" t="s">
        <v>743</v>
      </c>
      <c r="D150" s="6" t="s">
        <v>744</v>
      </c>
      <c r="E150" s="6" t="s">
        <v>732</v>
      </c>
      <c r="F150" s="6" t="s">
        <v>745</v>
      </c>
      <c r="G150" s="6" t="s">
        <v>746</v>
      </c>
      <c r="H150" s="6" t="s">
        <v>747</v>
      </c>
      <c r="I150" s="6"/>
      <c r="J150" s="6" t="s">
        <v>23</v>
      </c>
      <c r="K150" s="6" t="s">
        <v>24</v>
      </c>
      <c r="L150" s="6"/>
      <c r="M150" s="6"/>
      <c r="N150" s="6"/>
    </row>
    <row r="151" customFormat="false" ht="90" hidden="false" customHeight="true" outlineLevel="0" collapsed="false">
      <c r="A151" s="6" t="n">
        <v>4</v>
      </c>
      <c r="B151" s="6" t="s">
        <v>748</v>
      </c>
      <c r="C151" s="6" t="s">
        <v>749</v>
      </c>
      <c r="D151" s="6" t="s">
        <v>750</v>
      </c>
      <c r="E151" s="6" t="s">
        <v>732</v>
      </c>
      <c r="F151" s="6" t="s">
        <v>751</v>
      </c>
      <c r="G151" s="6" t="s">
        <v>746</v>
      </c>
      <c r="H151" s="6" t="s">
        <v>752</v>
      </c>
      <c r="I151" s="6"/>
      <c r="J151" s="6" t="s">
        <v>23</v>
      </c>
      <c r="K151" s="6" t="s">
        <v>39</v>
      </c>
      <c r="L151" s="6"/>
      <c r="M151" s="6"/>
      <c r="N151" s="6"/>
    </row>
    <row r="152" customFormat="false" ht="90" hidden="false" customHeight="true" outlineLevel="0" collapsed="false">
      <c r="A152" s="6" t="n">
        <v>5</v>
      </c>
      <c r="B152" s="6" t="s">
        <v>753</v>
      </c>
      <c r="C152" s="6" t="s">
        <v>754</v>
      </c>
      <c r="D152" s="6" t="s">
        <v>755</v>
      </c>
      <c r="E152" s="6" t="s">
        <v>732</v>
      </c>
      <c r="F152" s="6" t="s">
        <v>756</v>
      </c>
      <c r="G152" s="6" t="s">
        <v>757</v>
      </c>
      <c r="H152" s="6" t="s">
        <v>758</v>
      </c>
      <c r="I152" s="6"/>
      <c r="J152" s="6" t="s">
        <v>23</v>
      </c>
      <c r="K152" s="6" t="s">
        <v>24</v>
      </c>
      <c r="L152" s="6"/>
      <c r="M152" s="6"/>
      <c r="N152" s="6"/>
    </row>
    <row r="153" customFormat="false" ht="90" hidden="false" customHeight="true" outlineLevel="0" collapsed="false">
      <c r="A153" s="6" t="n">
        <v>6</v>
      </c>
      <c r="B153" s="6" t="s">
        <v>759</v>
      </c>
      <c r="C153" s="6" t="s">
        <v>760</v>
      </c>
      <c r="D153" s="6" t="s">
        <v>761</v>
      </c>
      <c r="E153" s="6" t="s">
        <v>732</v>
      </c>
      <c r="F153" s="6" t="s">
        <v>762</v>
      </c>
      <c r="G153" s="6" t="s">
        <v>763</v>
      </c>
      <c r="H153" s="6" t="s">
        <v>764</v>
      </c>
      <c r="I153" s="6"/>
      <c r="J153" s="6" t="s">
        <v>53</v>
      </c>
      <c r="K153" s="6" t="s">
        <v>39</v>
      </c>
      <c r="L153" s="6"/>
      <c r="M153" s="6"/>
      <c r="N153" s="6"/>
    </row>
    <row r="154" customFormat="false" ht="90" hidden="false" customHeight="true" outlineLevel="0" collapsed="false">
      <c r="A154" s="6" t="n">
        <v>7</v>
      </c>
      <c r="B154" s="6" t="s">
        <v>765</v>
      </c>
      <c r="C154" s="6" t="s">
        <v>766</v>
      </c>
      <c r="D154" s="6" t="s">
        <v>767</v>
      </c>
      <c r="E154" s="6" t="s">
        <v>732</v>
      </c>
      <c r="F154" s="6" t="s">
        <v>768</v>
      </c>
      <c r="G154" s="6" t="s">
        <v>769</v>
      </c>
      <c r="H154" s="6" t="s">
        <v>770</v>
      </c>
      <c r="I154" s="6"/>
      <c r="J154" s="6" t="s">
        <v>23</v>
      </c>
      <c r="K154" s="6" t="s">
        <v>24</v>
      </c>
      <c r="L154" s="6"/>
      <c r="M154" s="6"/>
      <c r="N154" s="6"/>
    </row>
    <row r="155" customFormat="false" ht="90" hidden="false" customHeight="true" outlineLevel="0" collapsed="false">
      <c r="A155" s="6" t="n">
        <v>8</v>
      </c>
      <c r="B155" s="6" t="s">
        <v>771</v>
      </c>
      <c r="C155" s="6" t="s">
        <v>772</v>
      </c>
      <c r="D155" s="6" t="s">
        <v>773</v>
      </c>
      <c r="E155" s="6" t="s">
        <v>732</v>
      </c>
      <c r="F155" s="6" t="s">
        <v>774</v>
      </c>
      <c r="G155" s="6" t="s">
        <v>775</v>
      </c>
      <c r="H155" s="6" t="s">
        <v>776</v>
      </c>
      <c r="I155" s="6"/>
      <c r="J155" s="6" t="s">
        <v>23</v>
      </c>
      <c r="K155" s="6" t="s">
        <v>39</v>
      </c>
      <c r="L155" s="6"/>
      <c r="M155" s="6"/>
      <c r="N155" s="6"/>
    </row>
    <row r="156" customFormat="false" ht="90" hidden="false" customHeight="true" outlineLevel="0" collapsed="false">
      <c r="A156" s="6" t="n">
        <v>9</v>
      </c>
      <c r="B156" s="6" t="s">
        <v>777</v>
      </c>
      <c r="C156" s="6" t="s">
        <v>778</v>
      </c>
      <c r="D156" s="6" t="s">
        <v>779</v>
      </c>
      <c r="E156" s="6" t="s">
        <v>732</v>
      </c>
      <c r="F156" s="6" t="s">
        <v>780</v>
      </c>
      <c r="G156" s="6" t="s">
        <v>781</v>
      </c>
      <c r="H156" s="6" t="s">
        <v>782</v>
      </c>
      <c r="I156" s="6"/>
      <c r="J156" s="6" t="s">
        <v>23</v>
      </c>
      <c r="K156" s="6" t="s">
        <v>39</v>
      </c>
      <c r="L156" s="6"/>
      <c r="M156" s="6"/>
      <c r="N156" s="6"/>
    </row>
    <row r="157" customFormat="false" ht="90" hidden="false" customHeight="true" outlineLevel="0" collapsed="false">
      <c r="A157" s="6" t="n">
        <v>10</v>
      </c>
      <c r="B157" s="6" t="s">
        <v>783</v>
      </c>
      <c r="C157" s="6" t="s">
        <v>784</v>
      </c>
      <c r="D157" s="6" t="s">
        <v>785</v>
      </c>
      <c r="E157" s="6" t="s">
        <v>732</v>
      </c>
      <c r="F157" s="6" t="s">
        <v>786</v>
      </c>
      <c r="G157" s="6" t="s">
        <v>787</v>
      </c>
      <c r="H157" s="6" t="s">
        <v>788</v>
      </c>
      <c r="I157" s="6"/>
      <c r="J157" s="6" t="s">
        <v>23</v>
      </c>
      <c r="K157" s="6" t="s">
        <v>32</v>
      </c>
      <c r="L157" s="6"/>
      <c r="M157" s="6"/>
      <c r="N157" s="6"/>
    </row>
    <row r="158" customFormat="false" ht="90" hidden="false" customHeight="true" outlineLevel="0" collapsed="false">
      <c r="A158" s="6" t="n">
        <v>11</v>
      </c>
      <c r="B158" s="6" t="s">
        <v>789</v>
      </c>
      <c r="C158" s="6" t="s">
        <v>790</v>
      </c>
      <c r="D158" s="6" t="s">
        <v>791</v>
      </c>
      <c r="E158" s="6" t="s">
        <v>732</v>
      </c>
      <c r="F158" s="6" t="s">
        <v>792</v>
      </c>
      <c r="G158" s="6" t="s">
        <v>793</v>
      </c>
      <c r="H158" s="6" t="s">
        <v>794</v>
      </c>
      <c r="I158" s="6"/>
      <c r="J158" s="6" t="s">
        <v>23</v>
      </c>
      <c r="K158" s="6" t="s">
        <v>39</v>
      </c>
      <c r="L158" s="6"/>
      <c r="M158" s="6"/>
      <c r="N158" s="6" t="s">
        <v>795</v>
      </c>
    </row>
    <row r="159" customFormat="false" ht="90" hidden="false" customHeight="true" outlineLevel="0" collapsed="false">
      <c r="A159" s="6" t="n">
        <v>12</v>
      </c>
      <c r="B159" s="6" t="s">
        <v>796</v>
      </c>
      <c r="C159" s="6" t="s">
        <v>797</v>
      </c>
      <c r="D159" s="6" t="s">
        <v>798</v>
      </c>
      <c r="E159" s="6" t="s">
        <v>732</v>
      </c>
      <c r="F159" s="6" t="s">
        <v>799</v>
      </c>
      <c r="G159" s="6" t="s">
        <v>800</v>
      </c>
      <c r="H159" s="6" t="s">
        <v>801</v>
      </c>
      <c r="I159" s="6"/>
      <c r="J159" s="6" t="s">
        <v>23</v>
      </c>
      <c r="K159" s="6" t="s">
        <v>39</v>
      </c>
      <c r="L159" s="6"/>
      <c r="M159" s="6"/>
      <c r="N159" s="6"/>
    </row>
    <row r="160" customFormat="false" ht="90" hidden="false" customHeight="true" outlineLevel="0" collapsed="false">
      <c r="A160" s="6" t="n">
        <v>13</v>
      </c>
      <c r="B160" s="6" t="s">
        <v>802</v>
      </c>
      <c r="C160" s="6" t="s">
        <v>803</v>
      </c>
      <c r="D160" s="6" t="s">
        <v>804</v>
      </c>
      <c r="E160" s="6" t="s">
        <v>732</v>
      </c>
      <c r="F160" s="6" t="s">
        <v>805</v>
      </c>
      <c r="G160" s="6" t="s">
        <v>806</v>
      </c>
      <c r="H160" s="6" t="s">
        <v>807</v>
      </c>
      <c r="I160" s="6"/>
      <c r="J160" s="6" t="s">
        <v>23</v>
      </c>
      <c r="K160" s="6" t="s">
        <v>32</v>
      </c>
      <c r="L160" s="6"/>
      <c r="M160" s="6"/>
      <c r="N160" s="6"/>
    </row>
    <row r="161" customFormat="false" ht="90" hidden="false" customHeight="true" outlineLevel="0" collapsed="false">
      <c r="A161" s="6" t="n">
        <v>14</v>
      </c>
      <c r="B161" s="6" t="s">
        <v>808</v>
      </c>
      <c r="C161" s="6" t="s">
        <v>809</v>
      </c>
      <c r="D161" s="6" t="s">
        <v>810</v>
      </c>
      <c r="E161" s="6" t="s">
        <v>732</v>
      </c>
      <c r="F161" s="6" t="s">
        <v>811</v>
      </c>
      <c r="G161" s="6" t="s">
        <v>812</v>
      </c>
      <c r="H161" s="6" t="s">
        <v>813</v>
      </c>
      <c r="I161" s="6"/>
      <c r="J161" s="6" t="s">
        <v>53</v>
      </c>
      <c r="K161" s="6" t="s">
        <v>32</v>
      </c>
      <c r="L161" s="6"/>
      <c r="M161" s="6"/>
      <c r="N161" s="6"/>
    </row>
    <row r="162" customFormat="false" ht="90" hidden="false" customHeight="true" outlineLevel="0" collapsed="false">
      <c r="A162" s="6" t="n">
        <v>15</v>
      </c>
      <c r="B162" s="6" t="s">
        <v>814</v>
      </c>
      <c r="C162" s="6" t="s">
        <v>815</v>
      </c>
      <c r="D162" s="6" t="s">
        <v>816</v>
      </c>
      <c r="E162" s="6" t="s">
        <v>732</v>
      </c>
      <c r="F162" s="6" t="s">
        <v>817</v>
      </c>
      <c r="G162" s="6" t="s">
        <v>818</v>
      </c>
      <c r="H162" s="6" t="s">
        <v>819</v>
      </c>
      <c r="I162" s="6"/>
      <c r="J162" s="6" t="s">
        <v>23</v>
      </c>
      <c r="K162" s="6" t="s">
        <v>32</v>
      </c>
      <c r="L162" s="6"/>
      <c r="M162" s="6"/>
      <c r="N162" s="6" t="s">
        <v>820</v>
      </c>
    </row>
    <row r="163" customFormat="false" ht="90" hidden="false" customHeight="true" outlineLevel="0" collapsed="false">
      <c r="A163" s="6" t="n">
        <v>16</v>
      </c>
      <c r="B163" s="6" t="s">
        <v>821</v>
      </c>
      <c r="C163" s="6" t="s">
        <v>822</v>
      </c>
      <c r="D163" s="6" t="s">
        <v>823</v>
      </c>
      <c r="E163" s="6" t="s">
        <v>732</v>
      </c>
      <c r="F163" s="6" t="s">
        <v>824</v>
      </c>
      <c r="G163" s="6" t="s">
        <v>825</v>
      </c>
      <c r="H163" s="6" t="s">
        <v>826</v>
      </c>
      <c r="I163" s="6"/>
      <c r="J163" s="6" t="s">
        <v>23</v>
      </c>
      <c r="K163" s="6" t="s">
        <v>32</v>
      </c>
      <c r="L163" s="6"/>
      <c r="M163" s="6"/>
      <c r="N163" s="6" t="s">
        <v>827</v>
      </c>
    </row>
    <row r="164" customFormat="false" ht="90" hidden="false" customHeight="true" outlineLevel="0" collapsed="false">
      <c r="A164" s="6" t="n">
        <v>17</v>
      </c>
      <c r="B164" s="6" t="s">
        <v>828</v>
      </c>
      <c r="C164" s="6" t="s">
        <v>829</v>
      </c>
      <c r="D164" s="6" t="s">
        <v>830</v>
      </c>
      <c r="E164" s="6" t="s">
        <v>732</v>
      </c>
      <c r="F164" s="6" t="s">
        <v>831</v>
      </c>
      <c r="G164" s="6" t="s">
        <v>832</v>
      </c>
      <c r="H164" s="6" t="s">
        <v>833</v>
      </c>
      <c r="I164" s="6"/>
      <c r="J164" s="6" t="s">
        <v>23</v>
      </c>
      <c r="K164" s="6" t="s">
        <v>32</v>
      </c>
      <c r="L164" s="6"/>
      <c r="M164" s="6"/>
      <c r="N164" s="6"/>
    </row>
    <row r="165" customFormat="false" ht="90" hidden="false" customHeight="true" outlineLevel="0" collapsed="false">
      <c r="A165" s="6" t="n">
        <v>18</v>
      </c>
      <c r="B165" s="6" t="s">
        <v>834</v>
      </c>
      <c r="C165" s="6" t="s">
        <v>835</v>
      </c>
      <c r="D165" s="6" t="s">
        <v>836</v>
      </c>
      <c r="E165" s="6" t="s">
        <v>732</v>
      </c>
      <c r="F165" s="6" t="s">
        <v>837</v>
      </c>
      <c r="G165" s="6" t="s">
        <v>838</v>
      </c>
      <c r="H165" s="6" t="s">
        <v>839</v>
      </c>
      <c r="I165" s="6"/>
      <c r="J165" s="6" t="s">
        <v>23</v>
      </c>
      <c r="K165" s="6" t="s">
        <v>32</v>
      </c>
      <c r="L165" s="6"/>
      <c r="M165" s="6"/>
      <c r="N165" s="6"/>
    </row>
    <row r="166" customFormat="false" ht="90" hidden="false" customHeight="true" outlineLevel="0" collapsed="false">
      <c r="A166" s="6" t="n">
        <v>19</v>
      </c>
      <c r="B166" s="6" t="s">
        <v>840</v>
      </c>
      <c r="C166" s="6" t="s">
        <v>841</v>
      </c>
      <c r="D166" s="6" t="s">
        <v>842</v>
      </c>
      <c r="E166" s="6" t="s">
        <v>732</v>
      </c>
      <c r="F166" s="6" t="s">
        <v>843</v>
      </c>
      <c r="G166" s="6" t="s">
        <v>746</v>
      </c>
      <c r="H166" s="6" t="s">
        <v>844</v>
      </c>
      <c r="I166" s="6"/>
      <c r="J166" s="6" t="s">
        <v>23</v>
      </c>
      <c r="K166" s="6" t="s">
        <v>32</v>
      </c>
      <c r="L166" s="6"/>
      <c r="M166" s="6"/>
      <c r="N166" s="6"/>
    </row>
    <row r="167" customFormat="false" ht="90" hidden="false" customHeight="true" outlineLevel="0" collapsed="false">
      <c r="A167" s="6" t="n">
        <v>20</v>
      </c>
      <c r="B167" s="6" t="s">
        <v>845</v>
      </c>
      <c r="C167" s="6" t="s">
        <v>846</v>
      </c>
      <c r="D167" s="6" t="s">
        <v>847</v>
      </c>
      <c r="E167" s="6" t="s">
        <v>732</v>
      </c>
      <c r="F167" s="6" t="s">
        <v>848</v>
      </c>
      <c r="G167" s="6" t="s">
        <v>849</v>
      </c>
      <c r="H167" s="6" t="s">
        <v>850</v>
      </c>
      <c r="I167" s="6"/>
      <c r="J167" s="6" t="s">
        <v>23</v>
      </c>
      <c r="K167" s="6" t="s">
        <v>32</v>
      </c>
      <c r="L167" s="6"/>
      <c r="M167" s="6"/>
      <c r="N167" s="6"/>
    </row>
    <row r="168" customFormat="false" ht="90" hidden="false" customHeight="true" outlineLevel="0" collapsed="false">
      <c r="A168" s="6" t="n">
        <v>21</v>
      </c>
      <c r="B168" s="6" t="s">
        <v>851</v>
      </c>
      <c r="C168" s="6" t="s">
        <v>852</v>
      </c>
      <c r="D168" s="6" t="s">
        <v>853</v>
      </c>
      <c r="E168" s="6" t="s">
        <v>732</v>
      </c>
      <c r="F168" s="6" t="s">
        <v>854</v>
      </c>
      <c r="G168" s="6" t="s">
        <v>855</v>
      </c>
      <c r="H168" s="6" t="s">
        <v>856</v>
      </c>
      <c r="I168" s="6"/>
      <c r="J168" s="6" t="s">
        <v>23</v>
      </c>
      <c r="K168" s="6" t="s">
        <v>32</v>
      </c>
      <c r="L168" s="6"/>
      <c r="M168" s="6"/>
      <c r="N168" s="6"/>
    </row>
    <row r="169" customFormat="false" ht="90" hidden="false" customHeight="true" outlineLevel="0" collapsed="false">
      <c r="A169" s="6" t="n">
        <v>22</v>
      </c>
      <c r="B169" s="6" t="s">
        <v>857</v>
      </c>
      <c r="C169" s="6" t="s">
        <v>858</v>
      </c>
      <c r="D169" s="6" t="s">
        <v>859</v>
      </c>
      <c r="E169" s="6" t="s">
        <v>860</v>
      </c>
      <c r="F169" s="6" t="s">
        <v>861</v>
      </c>
      <c r="G169" s="6" t="s">
        <v>862</v>
      </c>
      <c r="H169" s="6" t="s">
        <v>863</v>
      </c>
      <c r="I169" s="6"/>
      <c r="J169" s="6" t="s">
        <v>23</v>
      </c>
      <c r="K169" s="6" t="s">
        <v>39</v>
      </c>
      <c r="L169" s="6"/>
      <c r="M169" s="6"/>
      <c r="N169" s="6"/>
    </row>
    <row r="171" customFormat="false" ht="19.5" hidden="false" customHeight="true" outlineLevel="0" collapsed="false">
      <c r="A171" s="4" t="s">
        <v>864</v>
      </c>
      <c r="B171" s="4"/>
      <c r="C171" s="4"/>
      <c r="D171" s="4"/>
      <c r="E171" s="4"/>
      <c r="F171" s="4"/>
      <c r="G171" s="4"/>
      <c r="H171" s="4"/>
      <c r="I171" s="4"/>
      <c r="J171" s="4"/>
      <c r="K171" s="4"/>
      <c r="L171" s="4"/>
      <c r="M171" s="4"/>
      <c r="N171" s="4"/>
    </row>
    <row r="172" customFormat="false" ht="21.75" hidden="false" customHeight="true" outlineLevel="0" collapsed="false">
      <c r="A172" s="5" t="s">
        <v>3</v>
      </c>
      <c r="B172" s="5" t="s">
        <v>4</v>
      </c>
      <c r="C172" s="5" t="s">
        <v>5</v>
      </c>
      <c r="D172" s="5" t="s">
        <v>6</v>
      </c>
      <c r="E172" s="5" t="s">
        <v>7</v>
      </c>
      <c r="F172" s="5" t="s">
        <v>8</v>
      </c>
      <c r="G172" s="5" t="s">
        <v>9</v>
      </c>
      <c r="H172" s="5" t="s">
        <v>10</v>
      </c>
      <c r="I172" s="5" t="s">
        <v>11</v>
      </c>
      <c r="J172" s="5" t="s">
        <v>12</v>
      </c>
      <c r="K172" s="5" t="s">
        <v>13</v>
      </c>
      <c r="L172" s="5" t="s">
        <v>14</v>
      </c>
      <c r="M172" s="5" t="s">
        <v>15</v>
      </c>
      <c r="N172" s="5" t="s">
        <v>16</v>
      </c>
    </row>
    <row r="173" customFormat="false" ht="90" hidden="false" customHeight="true" outlineLevel="0" collapsed="false">
      <c r="A173" s="6" t="n">
        <v>1</v>
      </c>
      <c r="B173" s="6" t="s">
        <v>865</v>
      </c>
      <c r="C173" s="6" t="s">
        <v>866</v>
      </c>
      <c r="D173" s="6" t="s">
        <v>867</v>
      </c>
      <c r="E173" s="6" t="s">
        <v>20</v>
      </c>
      <c r="F173" s="6" t="s">
        <v>868</v>
      </c>
      <c r="G173" s="6" t="s">
        <v>869</v>
      </c>
      <c r="H173" s="6" t="s">
        <v>870</v>
      </c>
      <c r="I173" s="6"/>
      <c r="J173" s="6" t="s">
        <v>23</v>
      </c>
      <c r="K173" s="6" t="s">
        <v>39</v>
      </c>
      <c r="L173" s="6"/>
      <c r="M173" s="6"/>
      <c r="N173" s="6"/>
    </row>
    <row r="174" customFormat="false" ht="90" hidden="false" customHeight="true" outlineLevel="0" collapsed="false">
      <c r="A174" s="6" t="n">
        <v>2</v>
      </c>
      <c r="B174" s="6" t="s">
        <v>871</v>
      </c>
      <c r="C174" s="6" t="s">
        <v>872</v>
      </c>
      <c r="D174" s="6" t="s">
        <v>873</v>
      </c>
      <c r="E174" s="6" t="s">
        <v>20</v>
      </c>
      <c r="F174" s="6" t="s">
        <v>874</v>
      </c>
      <c r="G174" s="6" t="s">
        <v>875</v>
      </c>
      <c r="H174" s="6" t="s">
        <v>876</v>
      </c>
      <c r="I174" s="6"/>
      <c r="J174" s="6" t="s">
        <v>23</v>
      </c>
      <c r="K174" s="6" t="s">
        <v>32</v>
      </c>
      <c r="L174" s="6"/>
      <c r="M174" s="6"/>
      <c r="N174" s="6"/>
    </row>
    <row r="175" customFormat="false" ht="90" hidden="false" customHeight="true" outlineLevel="0" collapsed="false">
      <c r="A175" s="6" t="n">
        <v>3</v>
      </c>
      <c r="B175" s="6" t="s">
        <v>877</v>
      </c>
      <c r="C175" s="6" t="s">
        <v>878</v>
      </c>
      <c r="D175" s="6" t="s">
        <v>879</v>
      </c>
      <c r="E175" s="6" t="s">
        <v>20</v>
      </c>
      <c r="F175" s="6" t="s">
        <v>880</v>
      </c>
      <c r="G175" s="6" t="s">
        <v>881</v>
      </c>
      <c r="H175" s="6" t="s">
        <v>882</v>
      </c>
      <c r="I175" s="6"/>
      <c r="J175" s="6" t="s">
        <v>23</v>
      </c>
      <c r="K175" s="6" t="s">
        <v>24</v>
      </c>
      <c r="L175" s="6"/>
      <c r="M175" s="6"/>
      <c r="N175" s="6" t="s">
        <v>883</v>
      </c>
    </row>
    <row r="176" customFormat="false" ht="90" hidden="false" customHeight="true" outlineLevel="0" collapsed="false">
      <c r="A176" s="6" t="n">
        <v>4</v>
      </c>
      <c r="B176" s="6" t="s">
        <v>884</v>
      </c>
      <c r="C176" s="6" t="s">
        <v>885</v>
      </c>
      <c r="D176" s="6" t="s">
        <v>886</v>
      </c>
      <c r="E176" s="6" t="s">
        <v>20</v>
      </c>
      <c r="F176" s="6" t="s">
        <v>887</v>
      </c>
      <c r="G176" s="6" t="s">
        <v>888</v>
      </c>
      <c r="H176" s="6" t="s">
        <v>889</v>
      </c>
      <c r="I176" s="6"/>
      <c r="J176" s="6" t="s">
        <v>53</v>
      </c>
      <c r="K176" s="6" t="s">
        <v>32</v>
      </c>
      <c r="L176" s="6"/>
      <c r="M176" s="6"/>
      <c r="N176" s="6"/>
    </row>
    <row r="177" customFormat="false" ht="90" hidden="false" customHeight="true" outlineLevel="0" collapsed="false">
      <c r="A177" s="6" t="n">
        <v>5</v>
      </c>
      <c r="B177" s="6" t="s">
        <v>890</v>
      </c>
      <c r="C177" s="6" t="s">
        <v>891</v>
      </c>
      <c r="D177" s="6" t="s">
        <v>892</v>
      </c>
      <c r="E177" s="6" t="s">
        <v>20</v>
      </c>
      <c r="F177" s="6" t="s">
        <v>893</v>
      </c>
      <c r="G177" s="6" t="s">
        <v>894</v>
      </c>
      <c r="H177" s="6" t="s">
        <v>895</v>
      </c>
      <c r="I177" s="6"/>
      <c r="J177" s="6" t="s">
        <v>23</v>
      </c>
      <c r="K177" s="6" t="s">
        <v>39</v>
      </c>
      <c r="L177" s="6"/>
      <c r="M177" s="6"/>
      <c r="N177" s="6"/>
    </row>
    <row r="178" customFormat="false" ht="90" hidden="false" customHeight="true" outlineLevel="0" collapsed="false">
      <c r="A178" s="6" t="n">
        <v>6</v>
      </c>
      <c r="B178" s="6" t="s">
        <v>896</v>
      </c>
      <c r="C178" s="6" t="s">
        <v>897</v>
      </c>
      <c r="D178" s="6" t="s">
        <v>898</v>
      </c>
      <c r="E178" s="6" t="s">
        <v>20</v>
      </c>
      <c r="F178" s="6" t="s">
        <v>899</v>
      </c>
      <c r="G178" s="6" t="s">
        <v>900</v>
      </c>
      <c r="H178" s="6" t="s">
        <v>901</v>
      </c>
      <c r="I178" s="6"/>
      <c r="J178" s="6" t="s">
        <v>23</v>
      </c>
      <c r="K178" s="6" t="s">
        <v>39</v>
      </c>
      <c r="L178" s="6"/>
      <c r="M178" s="6"/>
      <c r="N178" s="6"/>
    </row>
    <row r="179" customFormat="false" ht="90" hidden="false" customHeight="true" outlineLevel="0" collapsed="false">
      <c r="A179" s="6" t="n">
        <v>7</v>
      </c>
      <c r="B179" s="6" t="s">
        <v>902</v>
      </c>
      <c r="C179" s="6" t="s">
        <v>903</v>
      </c>
      <c r="D179" s="6" t="s">
        <v>904</v>
      </c>
      <c r="E179" s="6" t="s">
        <v>20</v>
      </c>
      <c r="F179" s="6" t="s">
        <v>905</v>
      </c>
      <c r="G179" s="6" t="s">
        <v>906</v>
      </c>
      <c r="H179" s="6" t="s">
        <v>907</v>
      </c>
      <c r="I179" s="6"/>
      <c r="J179" s="6" t="s">
        <v>53</v>
      </c>
      <c r="K179" s="6" t="s">
        <v>24</v>
      </c>
      <c r="L179" s="6"/>
      <c r="M179" s="6"/>
      <c r="N179" s="6" t="s">
        <v>287</v>
      </c>
    </row>
    <row r="180" customFormat="false" ht="90" hidden="false" customHeight="true" outlineLevel="0" collapsed="false">
      <c r="A180" s="6" t="n">
        <v>8</v>
      </c>
      <c r="B180" s="6" t="s">
        <v>908</v>
      </c>
      <c r="C180" s="6" t="s">
        <v>909</v>
      </c>
      <c r="D180" s="6" t="s">
        <v>910</v>
      </c>
      <c r="E180" s="6" t="s">
        <v>20</v>
      </c>
      <c r="F180" s="6" t="s">
        <v>911</v>
      </c>
      <c r="G180" s="6" t="s">
        <v>912</v>
      </c>
      <c r="H180" s="6" t="s">
        <v>913</v>
      </c>
      <c r="I180" s="6"/>
      <c r="J180" s="6" t="s">
        <v>23</v>
      </c>
      <c r="K180" s="6" t="s">
        <v>32</v>
      </c>
      <c r="L180" s="6"/>
      <c r="M180" s="6"/>
      <c r="N180" s="6"/>
    </row>
    <row r="181" customFormat="false" ht="90" hidden="false" customHeight="true" outlineLevel="0" collapsed="false">
      <c r="A181" s="6" t="n">
        <v>9</v>
      </c>
      <c r="B181" s="6" t="s">
        <v>914</v>
      </c>
      <c r="C181" s="6" t="s">
        <v>915</v>
      </c>
      <c r="D181" s="6" t="s">
        <v>916</v>
      </c>
      <c r="E181" s="6" t="s">
        <v>20</v>
      </c>
      <c r="F181" s="6" t="s">
        <v>917</v>
      </c>
      <c r="G181" s="6" t="s">
        <v>918</v>
      </c>
      <c r="H181" s="6" t="s">
        <v>919</v>
      </c>
      <c r="I181" s="6"/>
      <c r="J181" s="6" t="s">
        <v>23</v>
      </c>
      <c r="K181" s="6" t="s">
        <v>32</v>
      </c>
      <c r="L181" s="6"/>
      <c r="M181" s="6"/>
      <c r="N181" s="6" t="s">
        <v>920</v>
      </c>
    </row>
    <row r="182" customFormat="false" ht="90" hidden="false" customHeight="true" outlineLevel="0" collapsed="false">
      <c r="A182" s="6" t="n">
        <v>10</v>
      </c>
      <c r="B182" s="6" t="s">
        <v>921</v>
      </c>
      <c r="C182" s="6" t="s">
        <v>922</v>
      </c>
      <c r="D182" s="6" t="s">
        <v>923</v>
      </c>
      <c r="E182" s="6" t="s">
        <v>20</v>
      </c>
      <c r="F182" s="6" t="s">
        <v>924</v>
      </c>
      <c r="G182" s="6" t="s">
        <v>30</v>
      </c>
      <c r="H182" s="6" t="s">
        <v>925</v>
      </c>
      <c r="I182" s="6"/>
      <c r="J182" s="6" t="s">
        <v>255</v>
      </c>
      <c r="K182" s="6" t="s">
        <v>32</v>
      </c>
      <c r="L182" s="6"/>
      <c r="M182" s="6"/>
      <c r="N182" s="6"/>
    </row>
    <row r="183" customFormat="false" ht="90" hidden="false" customHeight="true" outlineLevel="0" collapsed="false">
      <c r="A183" s="6" t="n">
        <v>11</v>
      </c>
      <c r="B183" s="6" t="s">
        <v>926</v>
      </c>
      <c r="C183" s="6" t="s">
        <v>927</v>
      </c>
      <c r="D183" s="6" t="s">
        <v>928</v>
      </c>
      <c r="E183" s="6" t="s">
        <v>20</v>
      </c>
      <c r="F183" s="6" t="s">
        <v>929</v>
      </c>
      <c r="G183" s="6" t="s">
        <v>930</v>
      </c>
      <c r="H183" s="6" t="s">
        <v>931</v>
      </c>
      <c r="I183" s="6"/>
      <c r="J183" s="6" t="s">
        <v>23</v>
      </c>
      <c r="K183" s="6" t="s">
        <v>24</v>
      </c>
      <c r="L183" s="6"/>
      <c r="M183" s="6"/>
      <c r="N183" s="6" t="s">
        <v>932</v>
      </c>
    </row>
    <row r="184" customFormat="false" ht="90" hidden="false" customHeight="true" outlineLevel="0" collapsed="false">
      <c r="A184" s="6" t="n">
        <v>12</v>
      </c>
      <c r="B184" s="6" t="s">
        <v>933</v>
      </c>
      <c r="C184" s="6" t="s">
        <v>934</v>
      </c>
      <c r="D184" s="6" t="s">
        <v>935</v>
      </c>
      <c r="E184" s="6" t="s">
        <v>20</v>
      </c>
      <c r="F184" s="6" t="s">
        <v>936</v>
      </c>
      <c r="G184" s="6" t="s">
        <v>937</v>
      </c>
      <c r="H184" s="6" t="s">
        <v>938</v>
      </c>
      <c r="I184" s="6"/>
      <c r="J184" s="6" t="s">
        <v>23</v>
      </c>
      <c r="K184" s="6" t="s">
        <v>32</v>
      </c>
      <c r="L184" s="6"/>
      <c r="M184" s="6"/>
      <c r="N184" s="6"/>
    </row>
    <row r="185" customFormat="false" ht="90" hidden="false" customHeight="true" outlineLevel="0" collapsed="false">
      <c r="A185" s="6" t="n">
        <v>13</v>
      </c>
      <c r="B185" s="6" t="s">
        <v>939</v>
      </c>
      <c r="C185" s="6" t="s">
        <v>940</v>
      </c>
      <c r="D185" s="6" t="s">
        <v>941</v>
      </c>
      <c r="E185" s="6" t="s">
        <v>20</v>
      </c>
      <c r="F185" s="6" t="s">
        <v>942</v>
      </c>
      <c r="G185" s="6" t="s">
        <v>943</v>
      </c>
      <c r="H185" s="6" t="s">
        <v>944</v>
      </c>
      <c r="I185" s="6"/>
      <c r="J185" s="6" t="s">
        <v>23</v>
      </c>
      <c r="K185" s="6" t="s">
        <v>32</v>
      </c>
      <c r="L185" s="6"/>
      <c r="M185" s="6"/>
      <c r="N185" s="6"/>
    </row>
    <row r="186" customFormat="false" ht="90" hidden="false" customHeight="true" outlineLevel="0" collapsed="false">
      <c r="A186" s="6" t="n">
        <v>14</v>
      </c>
      <c r="B186" s="6" t="s">
        <v>945</v>
      </c>
      <c r="C186" s="6" t="s">
        <v>946</v>
      </c>
      <c r="D186" s="6" t="s">
        <v>947</v>
      </c>
      <c r="E186" s="6" t="s">
        <v>948</v>
      </c>
      <c r="F186" s="6" t="s">
        <v>949</v>
      </c>
      <c r="G186" s="6" t="s">
        <v>720</v>
      </c>
      <c r="H186" s="6" t="s">
        <v>950</v>
      </c>
      <c r="I186" s="6"/>
      <c r="J186" s="6" t="s">
        <v>53</v>
      </c>
      <c r="K186" s="6" t="s">
        <v>39</v>
      </c>
      <c r="L186" s="6"/>
      <c r="M186" s="6"/>
      <c r="N186" s="6"/>
    </row>
    <row r="187" customFormat="false" ht="90" hidden="false" customHeight="true" outlineLevel="0" collapsed="false">
      <c r="A187" s="6" t="n">
        <v>15</v>
      </c>
      <c r="B187" s="6" t="s">
        <v>951</v>
      </c>
      <c r="C187" s="6" t="s">
        <v>952</v>
      </c>
      <c r="D187" s="6" t="s">
        <v>953</v>
      </c>
      <c r="E187" s="6" t="s">
        <v>20</v>
      </c>
      <c r="F187" s="6" t="s">
        <v>954</v>
      </c>
      <c r="G187" s="6" t="s">
        <v>955</v>
      </c>
      <c r="H187" s="6" t="s">
        <v>956</v>
      </c>
      <c r="I187" s="6"/>
      <c r="J187" s="6" t="s">
        <v>23</v>
      </c>
      <c r="K187" s="6" t="s">
        <v>32</v>
      </c>
      <c r="L187" s="6"/>
      <c r="M187" s="6"/>
      <c r="N187" s="6"/>
    </row>
    <row r="188" customFormat="false" ht="90" hidden="false" customHeight="true" outlineLevel="0" collapsed="false">
      <c r="A188" s="6" t="n">
        <v>16</v>
      </c>
      <c r="B188" s="6" t="s">
        <v>957</v>
      </c>
      <c r="C188" s="6" t="s">
        <v>958</v>
      </c>
      <c r="D188" s="6" t="s">
        <v>959</v>
      </c>
      <c r="E188" s="6" t="s">
        <v>20</v>
      </c>
      <c r="F188" s="6" t="s">
        <v>960</v>
      </c>
      <c r="G188" s="6" t="s">
        <v>961</v>
      </c>
      <c r="H188" s="6" t="s">
        <v>962</v>
      </c>
      <c r="I188" s="6"/>
      <c r="J188" s="6" t="s">
        <v>23</v>
      </c>
      <c r="K188" s="6" t="s">
        <v>32</v>
      </c>
      <c r="L188" s="6"/>
      <c r="M188" s="6"/>
      <c r="N188" s="6" t="s">
        <v>216</v>
      </c>
    </row>
    <row r="190" customFormat="false" ht="19.5" hidden="false" customHeight="true" outlineLevel="0" collapsed="false">
      <c r="A190" s="4" t="s">
        <v>963</v>
      </c>
      <c r="B190" s="4"/>
      <c r="C190" s="4"/>
      <c r="D190" s="4"/>
      <c r="E190" s="4"/>
      <c r="F190" s="4"/>
      <c r="G190" s="4"/>
      <c r="H190" s="4"/>
      <c r="I190" s="4"/>
      <c r="J190" s="4"/>
      <c r="K190" s="4"/>
      <c r="L190" s="4"/>
      <c r="M190" s="4"/>
      <c r="N190" s="4"/>
    </row>
    <row r="191" customFormat="false" ht="21.75" hidden="false" customHeight="true" outlineLevel="0" collapsed="false">
      <c r="A191" s="5" t="s">
        <v>3</v>
      </c>
      <c r="B191" s="5" t="s">
        <v>4</v>
      </c>
      <c r="C191" s="5" t="s">
        <v>5</v>
      </c>
      <c r="D191" s="5" t="s">
        <v>6</v>
      </c>
      <c r="E191" s="5" t="s">
        <v>7</v>
      </c>
      <c r="F191" s="5" t="s">
        <v>8</v>
      </c>
      <c r="G191" s="5" t="s">
        <v>9</v>
      </c>
      <c r="H191" s="5" t="s">
        <v>10</v>
      </c>
      <c r="I191" s="5" t="s">
        <v>11</v>
      </c>
      <c r="J191" s="5" t="s">
        <v>12</v>
      </c>
      <c r="K191" s="5" t="s">
        <v>13</v>
      </c>
      <c r="L191" s="5" t="s">
        <v>14</v>
      </c>
      <c r="M191" s="5" t="s">
        <v>15</v>
      </c>
      <c r="N191" s="5" t="s">
        <v>16</v>
      </c>
    </row>
    <row r="192" customFormat="false" ht="90" hidden="false" customHeight="true" outlineLevel="0" collapsed="false">
      <c r="A192" s="6" t="n">
        <v>1</v>
      </c>
      <c r="B192" s="6" t="s">
        <v>964</v>
      </c>
      <c r="C192" s="6" t="s">
        <v>965</v>
      </c>
      <c r="D192" s="6" t="s">
        <v>966</v>
      </c>
      <c r="E192" s="6" t="s">
        <v>967</v>
      </c>
      <c r="F192" s="6" t="s">
        <v>968</v>
      </c>
      <c r="G192" s="6" t="s">
        <v>969</v>
      </c>
      <c r="H192" s="6" t="s">
        <v>970</v>
      </c>
      <c r="I192" s="6"/>
      <c r="J192" s="6" t="s">
        <v>23</v>
      </c>
      <c r="K192" s="6" t="s">
        <v>39</v>
      </c>
      <c r="L192" s="6"/>
      <c r="M192" s="6"/>
      <c r="N192" s="6"/>
    </row>
    <row r="193" customFormat="false" ht="90" hidden="false" customHeight="true" outlineLevel="0" collapsed="false">
      <c r="A193" s="6" t="n">
        <v>2</v>
      </c>
      <c r="B193" s="6" t="s">
        <v>971</v>
      </c>
      <c r="C193" s="6" t="s">
        <v>972</v>
      </c>
      <c r="D193" s="6" t="s">
        <v>973</v>
      </c>
      <c r="E193" s="6" t="s">
        <v>967</v>
      </c>
      <c r="F193" s="6" t="s">
        <v>974</v>
      </c>
      <c r="G193" s="6" t="s">
        <v>975</v>
      </c>
      <c r="H193" s="6" t="s">
        <v>976</v>
      </c>
      <c r="I193" s="6"/>
      <c r="J193" s="6" t="s">
        <v>23</v>
      </c>
      <c r="K193" s="6" t="s">
        <v>24</v>
      </c>
      <c r="L193" s="6"/>
      <c r="M193" s="6"/>
      <c r="N193" s="6" t="s">
        <v>977</v>
      </c>
    </row>
    <row r="194" customFormat="false" ht="90" hidden="false" customHeight="true" outlineLevel="0" collapsed="false">
      <c r="A194" s="6" t="n">
        <v>3</v>
      </c>
      <c r="B194" s="6" t="s">
        <v>978</v>
      </c>
      <c r="C194" s="6" t="s">
        <v>979</v>
      </c>
      <c r="D194" s="6" t="s">
        <v>980</v>
      </c>
      <c r="E194" s="6" t="s">
        <v>967</v>
      </c>
      <c r="F194" s="6" t="s">
        <v>981</v>
      </c>
      <c r="G194" s="6" t="s">
        <v>982</v>
      </c>
      <c r="H194" s="6" t="s">
        <v>983</v>
      </c>
      <c r="I194" s="6"/>
      <c r="J194" s="6" t="s">
        <v>23</v>
      </c>
      <c r="K194" s="6" t="s">
        <v>39</v>
      </c>
      <c r="L194" s="6"/>
      <c r="M194" s="6"/>
      <c r="N194" s="6"/>
    </row>
    <row r="195" customFormat="false" ht="90" hidden="false" customHeight="true" outlineLevel="0" collapsed="false">
      <c r="A195" s="6" t="n">
        <v>4</v>
      </c>
      <c r="B195" s="6" t="s">
        <v>984</v>
      </c>
      <c r="C195" s="6" t="s">
        <v>985</v>
      </c>
      <c r="D195" s="6" t="s">
        <v>986</v>
      </c>
      <c r="E195" s="6" t="s">
        <v>967</v>
      </c>
      <c r="F195" s="6" t="s">
        <v>987</v>
      </c>
      <c r="G195" s="6" t="s">
        <v>988</v>
      </c>
      <c r="H195" s="6" t="s">
        <v>989</v>
      </c>
      <c r="I195" s="6"/>
      <c r="J195" s="6" t="s">
        <v>23</v>
      </c>
      <c r="K195" s="6" t="s">
        <v>39</v>
      </c>
      <c r="L195" s="6"/>
      <c r="M195" s="6"/>
      <c r="N195" s="6"/>
    </row>
    <row r="196" customFormat="false" ht="90" hidden="false" customHeight="true" outlineLevel="0" collapsed="false">
      <c r="A196" s="6" t="n">
        <v>5</v>
      </c>
      <c r="B196" s="6" t="s">
        <v>990</v>
      </c>
      <c r="C196" s="6" t="s">
        <v>991</v>
      </c>
      <c r="D196" s="6" t="s">
        <v>992</v>
      </c>
      <c r="E196" s="6" t="s">
        <v>967</v>
      </c>
      <c r="F196" s="6" t="s">
        <v>993</v>
      </c>
      <c r="G196" s="6" t="s">
        <v>994</v>
      </c>
      <c r="H196" s="6" t="s">
        <v>995</v>
      </c>
      <c r="I196" s="6"/>
      <c r="J196" s="6" t="s">
        <v>23</v>
      </c>
      <c r="K196" s="6" t="s">
        <v>39</v>
      </c>
      <c r="L196" s="6"/>
      <c r="M196" s="6"/>
      <c r="N196" s="6"/>
    </row>
    <row r="197" customFormat="false" ht="90" hidden="false" customHeight="true" outlineLevel="0" collapsed="false">
      <c r="A197" s="6" t="n">
        <v>6</v>
      </c>
      <c r="B197" s="6" t="s">
        <v>996</v>
      </c>
      <c r="C197" s="6" t="s">
        <v>997</v>
      </c>
      <c r="D197" s="6" t="s">
        <v>998</v>
      </c>
      <c r="E197" s="6" t="s">
        <v>967</v>
      </c>
      <c r="F197" s="6" t="s">
        <v>999</v>
      </c>
      <c r="G197" s="6" t="s">
        <v>1000</v>
      </c>
      <c r="H197" s="6" t="s">
        <v>1001</v>
      </c>
      <c r="I197" s="6"/>
      <c r="J197" s="6" t="s">
        <v>53</v>
      </c>
      <c r="K197" s="6" t="s">
        <v>39</v>
      </c>
      <c r="L197" s="6"/>
      <c r="M197" s="6"/>
      <c r="N197" s="6" t="s">
        <v>1002</v>
      </c>
    </row>
    <row r="198" customFormat="false" ht="90" hidden="false" customHeight="true" outlineLevel="0" collapsed="false">
      <c r="A198" s="6" t="n">
        <v>7</v>
      </c>
      <c r="B198" s="6" t="s">
        <v>1003</v>
      </c>
      <c r="C198" s="6" t="s">
        <v>1004</v>
      </c>
      <c r="D198" s="6" t="s">
        <v>1005</v>
      </c>
      <c r="E198" s="6" t="s">
        <v>967</v>
      </c>
      <c r="F198" s="6" t="s">
        <v>1006</v>
      </c>
      <c r="G198" s="6" t="s">
        <v>1007</v>
      </c>
      <c r="H198" s="6" t="s">
        <v>1008</v>
      </c>
      <c r="I198" s="6"/>
      <c r="J198" s="6" t="s">
        <v>23</v>
      </c>
      <c r="K198" s="6" t="s">
        <v>32</v>
      </c>
      <c r="L198" s="6"/>
      <c r="M198" s="6"/>
      <c r="N198" s="6"/>
    </row>
    <row r="199" customFormat="false" ht="90" hidden="false" customHeight="true" outlineLevel="0" collapsed="false">
      <c r="A199" s="6" t="n">
        <v>8</v>
      </c>
      <c r="B199" s="6" t="s">
        <v>1009</v>
      </c>
      <c r="C199" s="6" t="s">
        <v>1010</v>
      </c>
      <c r="D199" s="6" t="s">
        <v>1011</v>
      </c>
      <c r="E199" s="6" t="s">
        <v>967</v>
      </c>
      <c r="F199" s="6" t="s">
        <v>1012</v>
      </c>
      <c r="G199" s="6" t="s">
        <v>1013</v>
      </c>
      <c r="H199" s="6" t="s">
        <v>1014</v>
      </c>
      <c r="I199" s="6"/>
      <c r="J199" s="6" t="s">
        <v>23</v>
      </c>
      <c r="K199" s="6" t="s">
        <v>32</v>
      </c>
      <c r="L199" s="6"/>
      <c r="M199" s="6"/>
      <c r="N199" s="6"/>
    </row>
    <row r="200" customFormat="false" ht="90" hidden="false" customHeight="true" outlineLevel="0" collapsed="false">
      <c r="A200" s="6" t="n">
        <v>9</v>
      </c>
      <c r="B200" s="6" t="s">
        <v>1015</v>
      </c>
      <c r="C200" s="6" t="s">
        <v>1016</v>
      </c>
      <c r="D200" s="6" t="s">
        <v>1017</v>
      </c>
      <c r="E200" s="6" t="s">
        <v>967</v>
      </c>
      <c r="F200" s="6" t="s">
        <v>1018</v>
      </c>
      <c r="G200" s="6" t="s">
        <v>1019</v>
      </c>
      <c r="H200" s="6" t="s">
        <v>1020</v>
      </c>
      <c r="I200" s="6"/>
      <c r="J200" s="6" t="s">
        <v>23</v>
      </c>
      <c r="K200" s="6" t="s">
        <v>32</v>
      </c>
      <c r="L200" s="6"/>
      <c r="M200" s="6"/>
      <c r="N200" s="6"/>
    </row>
    <row r="201" customFormat="false" ht="90" hidden="false" customHeight="true" outlineLevel="0" collapsed="false">
      <c r="A201" s="6" t="n">
        <v>10</v>
      </c>
      <c r="B201" s="6" t="s">
        <v>1021</v>
      </c>
      <c r="C201" s="6" t="s">
        <v>1022</v>
      </c>
      <c r="D201" s="6" t="s">
        <v>1023</v>
      </c>
      <c r="E201" s="6" t="s">
        <v>967</v>
      </c>
      <c r="F201" s="6" t="s">
        <v>1024</v>
      </c>
      <c r="G201" s="6" t="s">
        <v>1025</v>
      </c>
      <c r="H201" s="6" t="s">
        <v>1026</v>
      </c>
      <c r="I201" s="6"/>
      <c r="J201" s="6" t="s">
        <v>23</v>
      </c>
      <c r="K201" s="6" t="s">
        <v>32</v>
      </c>
      <c r="L201" s="6"/>
      <c r="M201" s="6"/>
      <c r="N201" s="6"/>
    </row>
    <row r="202" customFormat="false" ht="90" hidden="false" customHeight="true" outlineLevel="0" collapsed="false">
      <c r="A202" s="6" t="n">
        <v>11</v>
      </c>
      <c r="B202" s="6" t="s">
        <v>1027</v>
      </c>
      <c r="C202" s="6" t="s">
        <v>1028</v>
      </c>
      <c r="D202" s="6" t="s">
        <v>1029</v>
      </c>
      <c r="E202" s="6" t="s">
        <v>967</v>
      </c>
      <c r="F202" s="6" t="s">
        <v>1030</v>
      </c>
      <c r="G202" s="6" t="s">
        <v>1031</v>
      </c>
      <c r="H202" s="6" t="s">
        <v>1032</v>
      </c>
      <c r="I202" s="6"/>
      <c r="J202" s="6" t="s">
        <v>53</v>
      </c>
      <c r="K202" s="6" t="s">
        <v>32</v>
      </c>
      <c r="L202" s="6"/>
      <c r="M202" s="6"/>
      <c r="N202" s="6"/>
    </row>
    <row r="203" customFormat="false" ht="90" hidden="false" customHeight="true" outlineLevel="0" collapsed="false">
      <c r="A203" s="6" t="n">
        <v>12</v>
      </c>
      <c r="B203" s="6" t="s">
        <v>1033</v>
      </c>
      <c r="C203" s="6" t="s">
        <v>1034</v>
      </c>
      <c r="D203" s="6" t="s">
        <v>1035</v>
      </c>
      <c r="E203" s="6" t="s">
        <v>967</v>
      </c>
      <c r="F203" s="6" t="s">
        <v>1036</v>
      </c>
      <c r="G203" s="6" t="s">
        <v>1037</v>
      </c>
      <c r="H203" s="6" t="s">
        <v>1038</v>
      </c>
      <c r="I203" s="6"/>
      <c r="J203" s="6" t="s">
        <v>23</v>
      </c>
      <c r="K203" s="6" t="s">
        <v>32</v>
      </c>
      <c r="L203" s="6"/>
      <c r="M203" s="6"/>
      <c r="N203" s="6"/>
    </row>
    <row r="204" customFormat="false" ht="90" hidden="false" customHeight="true" outlineLevel="0" collapsed="false">
      <c r="A204" s="6" t="n">
        <v>13</v>
      </c>
      <c r="B204" s="6" t="s">
        <v>1039</v>
      </c>
      <c r="C204" s="6" t="s">
        <v>1040</v>
      </c>
      <c r="D204" s="6" t="s">
        <v>1041</v>
      </c>
      <c r="E204" s="6" t="s">
        <v>967</v>
      </c>
      <c r="F204" s="6" t="s">
        <v>1042</v>
      </c>
      <c r="G204" s="6" t="s">
        <v>1043</v>
      </c>
      <c r="H204" s="6" t="s">
        <v>1044</v>
      </c>
      <c r="I204" s="6"/>
      <c r="J204" s="6" t="s">
        <v>23</v>
      </c>
      <c r="K204" s="6" t="s">
        <v>24</v>
      </c>
      <c r="L204" s="6"/>
      <c r="M204" s="6"/>
      <c r="N204" s="6" t="s">
        <v>287</v>
      </c>
    </row>
    <row r="205" customFormat="false" ht="90" hidden="false" customHeight="true" outlineLevel="0" collapsed="false">
      <c r="A205" s="6" t="n">
        <v>14</v>
      </c>
      <c r="B205" s="6" t="s">
        <v>1045</v>
      </c>
      <c r="C205" s="6" t="s">
        <v>1046</v>
      </c>
      <c r="D205" s="6" t="s">
        <v>1047</v>
      </c>
      <c r="E205" s="6" t="s">
        <v>1048</v>
      </c>
      <c r="F205" s="6" t="s">
        <v>1049</v>
      </c>
      <c r="G205" s="6" t="s">
        <v>1050</v>
      </c>
      <c r="H205" s="6" t="s">
        <v>1051</v>
      </c>
      <c r="I205" s="6"/>
      <c r="J205" s="6" t="s">
        <v>53</v>
      </c>
      <c r="K205" s="6" t="s">
        <v>39</v>
      </c>
      <c r="L205" s="6"/>
      <c r="M205" s="6"/>
      <c r="N205" s="6"/>
    </row>
    <row r="207" customFormat="false" ht="19.5" hidden="false" customHeight="true" outlineLevel="0" collapsed="false">
      <c r="A207" s="4" t="s">
        <v>1052</v>
      </c>
      <c r="B207" s="4"/>
      <c r="C207" s="4"/>
      <c r="D207" s="4"/>
      <c r="E207" s="4"/>
      <c r="F207" s="4"/>
      <c r="G207" s="4"/>
      <c r="H207" s="4"/>
      <c r="I207" s="4"/>
      <c r="J207" s="4"/>
      <c r="K207" s="4"/>
      <c r="L207" s="4"/>
      <c r="M207" s="4"/>
      <c r="N207" s="4"/>
    </row>
    <row r="208" customFormat="false" ht="21.75" hidden="false" customHeight="true" outlineLevel="0" collapsed="false">
      <c r="A208" s="5" t="s">
        <v>3</v>
      </c>
      <c r="B208" s="5" t="s">
        <v>4</v>
      </c>
      <c r="C208" s="5" t="s">
        <v>5</v>
      </c>
      <c r="D208" s="5" t="s">
        <v>6</v>
      </c>
      <c r="E208" s="5" t="s">
        <v>7</v>
      </c>
      <c r="F208" s="5" t="s">
        <v>8</v>
      </c>
      <c r="G208" s="5" t="s">
        <v>9</v>
      </c>
      <c r="H208" s="5" t="s">
        <v>10</v>
      </c>
      <c r="I208" s="5" t="s">
        <v>11</v>
      </c>
      <c r="J208" s="5" t="s">
        <v>12</v>
      </c>
      <c r="K208" s="5" t="s">
        <v>13</v>
      </c>
      <c r="L208" s="5" t="s">
        <v>14</v>
      </c>
      <c r="M208" s="5" t="s">
        <v>15</v>
      </c>
      <c r="N208" s="5" t="s">
        <v>16</v>
      </c>
    </row>
    <row r="209" customFormat="false" ht="90" hidden="false" customHeight="true" outlineLevel="0" collapsed="false">
      <c r="A209" s="6" t="n">
        <v>1</v>
      </c>
      <c r="B209" s="6" t="s">
        <v>1053</v>
      </c>
      <c r="C209" s="6" t="s">
        <v>1054</v>
      </c>
      <c r="D209" s="6" t="s">
        <v>1055</v>
      </c>
      <c r="E209" s="6" t="s">
        <v>20</v>
      </c>
      <c r="F209" s="6" t="s">
        <v>1056</v>
      </c>
      <c r="G209" s="6" t="s">
        <v>1057</v>
      </c>
      <c r="H209" s="6" t="s">
        <v>1058</v>
      </c>
      <c r="I209" s="6"/>
      <c r="J209" s="6" t="s">
        <v>23</v>
      </c>
      <c r="K209" s="6" t="s">
        <v>32</v>
      </c>
      <c r="L209" s="6"/>
      <c r="M209" s="6"/>
      <c r="N209" s="6"/>
    </row>
    <row r="210" customFormat="false" ht="90" hidden="false" customHeight="true" outlineLevel="0" collapsed="false">
      <c r="A210" s="6" t="n">
        <v>2</v>
      </c>
      <c r="B210" s="6" t="s">
        <v>1059</v>
      </c>
      <c r="C210" s="6" t="s">
        <v>1060</v>
      </c>
      <c r="D210" s="6" t="s">
        <v>1061</v>
      </c>
      <c r="E210" s="6" t="s">
        <v>20</v>
      </c>
      <c r="F210" s="6" t="s">
        <v>1062</v>
      </c>
      <c r="G210" s="6" t="s">
        <v>1063</v>
      </c>
      <c r="H210" s="6" t="s">
        <v>1064</v>
      </c>
      <c r="I210" s="6"/>
      <c r="J210" s="6" t="s">
        <v>23</v>
      </c>
      <c r="K210" s="6" t="s">
        <v>32</v>
      </c>
      <c r="L210" s="6"/>
      <c r="M210" s="6"/>
      <c r="N210" s="6"/>
    </row>
    <row r="211" customFormat="false" ht="90" hidden="false" customHeight="true" outlineLevel="0" collapsed="false">
      <c r="A211" s="6" t="n">
        <v>3</v>
      </c>
      <c r="B211" s="6" t="s">
        <v>1065</v>
      </c>
      <c r="C211" s="6" t="s">
        <v>1066</v>
      </c>
      <c r="D211" s="6" t="s">
        <v>1067</v>
      </c>
      <c r="E211" s="6" t="s">
        <v>20</v>
      </c>
      <c r="F211" s="6" t="s">
        <v>1068</v>
      </c>
      <c r="G211" s="6" t="s">
        <v>1069</v>
      </c>
      <c r="H211" s="6" t="s">
        <v>1070</v>
      </c>
      <c r="I211" s="6"/>
      <c r="J211" s="6" t="s">
        <v>53</v>
      </c>
      <c r="K211" s="6" t="s">
        <v>32</v>
      </c>
      <c r="L211" s="6"/>
      <c r="M211" s="6"/>
      <c r="N211" s="6"/>
    </row>
    <row r="212" customFormat="false" ht="90" hidden="false" customHeight="true" outlineLevel="0" collapsed="false">
      <c r="A212" s="6" t="n">
        <v>4</v>
      </c>
      <c r="B212" s="6" t="s">
        <v>1071</v>
      </c>
      <c r="C212" s="6" t="s">
        <v>1072</v>
      </c>
      <c r="D212" s="6" t="s">
        <v>1073</v>
      </c>
      <c r="E212" s="6" t="s">
        <v>20</v>
      </c>
      <c r="F212" s="6" t="s">
        <v>1074</v>
      </c>
      <c r="G212" s="6" t="s">
        <v>1075</v>
      </c>
      <c r="H212" s="6" t="s">
        <v>1076</v>
      </c>
      <c r="I212" s="6"/>
      <c r="J212" s="6" t="s">
        <v>23</v>
      </c>
      <c r="K212" s="6" t="s">
        <v>32</v>
      </c>
      <c r="L212" s="6"/>
      <c r="M212" s="6"/>
      <c r="N212" s="6"/>
    </row>
    <row r="213" customFormat="false" ht="90" hidden="false" customHeight="true" outlineLevel="0" collapsed="false">
      <c r="A213" s="6" t="n">
        <v>5</v>
      </c>
      <c r="B213" s="6" t="s">
        <v>1077</v>
      </c>
      <c r="C213" s="6" t="s">
        <v>1078</v>
      </c>
      <c r="D213" s="6" t="s">
        <v>1079</v>
      </c>
      <c r="E213" s="6" t="s">
        <v>20</v>
      </c>
      <c r="F213" s="6" t="s">
        <v>1080</v>
      </c>
      <c r="G213" s="6" t="s">
        <v>1081</v>
      </c>
      <c r="H213" s="6" t="s">
        <v>1082</v>
      </c>
      <c r="I213" s="6"/>
      <c r="J213" s="6" t="s">
        <v>23</v>
      </c>
      <c r="K213" s="6" t="s">
        <v>32</v>
      </c>
      <c r="L213" s="6"/>
      <c r="M213" s="6"/>
      <c r="N213" s="6"/>
    </row>
    <row r="214" customFormat="false" ht="90" hidden="false" customHeight="true" outlineLevel="0" collapsed="false">
      <c r="A214" s="6" t="n">
        <v>6</v>
      </c>
      <c r="B214" s="6" t="s">
        <v>1083</v>
      </c>
      <c r="C214" s="6" t="s">
        <v>1084</v>
      </c>
      <c r="D214" s="6" t="s">
        <v>1085</v>
      </c>
      <c r="E214" s="6" t="s">
        <v>20</v>
      </c>
      <c r="F214" s="6" t="s">
        <v>1086</v>
      </c>
      <c r="G214" s="6" t="s">
        <v>30</v>
      </c>
      <c r="H214" s="6" t="s">
        <v>1087</v>
      </c>
      <c r="I214" s="6"/>
      <c r="J214" s="6" t="s">
        <v>23</v>
      </c>
      <c r="K214" s="6" t="s">
        <v>32</v>
      </c>
      <c r="L214" s="6"/>
      <c r="M214" s="6"/>
      <c r="N214" s="6"/>
    </row>
    <row r="215" customFormat="false" ht="90" hidden="false" customHeight="true" outlineLevel="0" collapsed="false">
      <c r="A215" s="6" t="n">
        <v>7</v>
      </c>
      <c r="B215" s="6" t="s">
        <v>1088</v>
      </c>
      <c r="C215" s="6" t="s">
        <v>1089</v>
      </c>
      <c r="D215" s="6" t="s">
        <v>1090</v>
      </c>
      <c r="E215" s="6" t="s">
        <v>20</v>
      </c>
      <c r="F215" s="6" t="s">
        <v>1091</v>
      </c>
      <c r="G215" s="6" t="s">
        <v>1092</v>
      </c>
      <c r="H215" s="6" t="s">
        <v>1093</v>
      </c>
      <c r="I215" s="6"/>
      <c r="J215" s="6" t="s">
        <v>23</v>
      </c>
      <c r="K215" s="6" t="s">
        <v>32</v>
      </c>
      <c r="L215" s="6"/>
      <c r="M215" s="6"/>
      <c r="N215" s="6"/>
    </row>
    <row r="216" customFormat="false" ht="90" hidden="false" customHeight="true" outlineLevel="0" collapsed="false">
      <c r="A216" s="6" t="n">
        <v>8</v>
      </c>
      <c r="B216" s="6" t="s">
        <v>1094</v>
      </c>
      <c r="C216" s="6" t="s">
        <v>1095</v>
      </c>
      <c r="D216" s="6" t="s">
        <v>1096</v>
      </c>
      <c r="E216" s="6" t="s">
        <v>20</v>
      </c>
      <c r="F216" s="6" t="s">
        <v>1097</v>
      </c>
      <c r="G216" s="6" t="s">
        <v>30</v>
      </c>
      <c r="H216" s="6" t="s">
        <v>1098</v>
      </c>
      <c r="I216" s="6"/>
      <c r="J216" s="6" t="s">
        <v>53</v>
      </c>
      <c r="K216" s="6" t="s">
        <v>32</v>
      </c>
      <c r="L216" s="6"/>
      <c r="M216" s="6"/>
      <c r="N216" s="6"/>
    </row>
    <row r="217" customFormat="false" ht="90" hidden="false" customHeight="true" outlineLevel="0" collapsed="false">
      <c r="A217" s="6" t="n">
        <v>9</v>
      </c>
      <c r="B217" s="6" t="s">
        <v>1099</v>
      </c>
      <c r="C217" s="6" t="s">
        <v>1100</v>
      </c>
      <c r="D217" s="6" t="s">
        <v>1101</v>
      </c>
      <c r="E217" s="6" t="s">
        <v>20</v>
      </c>
      <c r="F217" s="6" t="s">
        <v>1102</v>
      </c>
      <c r="G217" s="6" t="s">
        <v>1103</v>
      </c>
      <c r="H217" s="6" t="s">
        <v>1104</v>
      </c>
      <c r="I217" s="6"/>
      <c r="J217" s="6" t="s">
        <v>23</v>
      </c>
      <c r="K217" s="6" t="s">
        <v>32</v>
      </c>
      <c r="L217" s="6"/>
      <c r="M217" s="6"/>
      <c r="N217" s="6"/>
    </row>
    <row r="218" customFormat="false" ht="90" hidden="false" customHeight="true" outlineLevel="0" collapsed="false">
      <c r="A218" s="6" t="n">
        <v>10</v>
      </c>
      <c r="B218" s="6" t="s">
        <v>1105</v>
      </c>
      <c r="C218" s="6" t="s">
        <v>1106</v>
      </c>
      <c r="D218" s="6" t="s">
        <v>1107</v>
      </c>
      <c r="E218" s="6" t="s">
        <v>20</v>
      </c>
      <c r="F218" s="6" t="s">
        <v>1108</v>
      </c>
      <c r="G218" s="6" t="s">
        <v>30</v>
      </c>
      <c r="H218" s="6" t="s">
        <v>1109</v>
      </c>
      <c r="I218" s="6"/>
      <c r="J218" s="6" t="s">
        <v>23</v>
      </c>
      <c r="K218" s="6" t="s">
        <v>32</v>
      </c>
      <c r="L218" s="6"/>
      <c r="M218" s="6"/>
      <c r="N218" s="6"/>
    </row>
    <row r="219" customFormat="false" ht="90" hidden="false" customHeight="true" outlineLevel="0" collapsed="false">
      <c r="A219" s="6" t="n">
        <v>11</v>
      </c>
      <c r="B219" s="6" t="s">
        <v>1110</v>
      </c>
      <c r="C219" s="6" t="s">
        <v>1111</v>
      </c>
      <c r="D219" s="6" t="s">
        <v>1112</v>
      </c>
      <c r="E219" s="6" t="s">
        <v>20</v>
      </c>
      <c r="F219" s="6" t="s">
        <v>1113</v>
      </c>
      <c r="G219" s="6" t="s">
        <v>1114</v>
      </c>
      <c r="H219" s="6" t="s">
        <v>1115</v>
      </c>
      <c r="I219" s="6"/>
      <c r="J219" s="6" t="s">
        <v>23</v>
      </c>
      <c r="K219" s="6" t="s">
        <v>32</v>
      </c>
      <c r="L219" s="6"/>
      <c r="M219" s="6"/>
      <c r="N219" s="6" t="s">
        <v>1116</v>
      </c>
    </row>
    <row r="220" customFormat="false" ht="90" hidden="false" customHeight="true" outlineLevel="0" collapsed="false">
      <c r="A220" s="6" t="n">
        <v>12</v>
      </c>
      <c r="B220" s="6" t="s">
        <v>1117</v>
      </c>
      <c r="C220" s="6" t="s">
        <v>1118</v>
      </c>
      <c r="D220" s="6" t="s">
        <v>1119</v>
      </c>
      <c r="E220" s="6" t="s">
        <v>1120</v>
      </c>
      <c r="F220" s="6" t="s">
        <v>1121</v>
      </c>
      <c r="G220" s="6" t="s">
        <v>1122</v>
      </c>
      <c r="H220" s="6" t="s">
        <v>1123</v>
      </c>
      <c r="I220" s="6"/>
      <c r="J220" s="6" t="s">
        <v>53</v>
      </c>
      <c r="K220" s="6" t="s">
        <v>32</v>
      </c>
      <c r="L220" s="6"/>
      <c r="M220" s="6"/>
      <c r="N220" s="6"/>
    </row>
    <row r="221" customFormat="false" ht="90" hidden="false" customHeight="true" outlineLevel="0" collapsed="false">
      <c r="A221" s="6" t="n">
        <v>13</v>
      </c>
      <c r="B221" s="6" t="s">
        <v>1124</v>
      </c>
      <c r="C221" s="6" t="s">
        <v>1125</v>
      </c>
      <c r="D221" s="6" t="s">
        <v>1126</v>
      </c>
      <c r="E221" s="6" t="s">
        <v>20</v>
      </c>
      <c r="F221" s="6" t="s">
        <v>1127</v>
      </c>
      <c r="G221" s="6" t="s">
        <v>1128</v>
      </c>
      <c r="H221" s="6" t="s">
        <v>1129</v>
      </c>
      <c r="I221" s="6"/>
      <c r="J221" s="6" t="s">
        <v>23</v>
      </c>
      <c r="K221" s="6" t="s">
        <v>39</v>
      </c>
      <c r="L221" s="6"/>
      <c r="M221" s="6"/>
      <c r="N221" s="6" t="s">
        <v>1130</v>
      </c>
    </row>
    <row r="222" customFormat="false" ht="90" hidden="false" customHeight="true" outlineLevel="0" collapsed="false">
      <c r="A222" s="6" t="n">
        <v>14</v>
      </c>
      <c r="B222" s="6" t="s">
        <v>1131</v>
      </c>
      <c r="C222" s="6" t="s">
        <v>1132</v>
      </c>
      <c r="D222" s="6" t="s">
        <v>1133</v>
      </c>
      <c r="E222" s="6" t="s">
        <v>20</v>
      </c>
      <c r="F222" s="6" t="s">
        <v>1134</v>
      </c>
      <c r="G222" s="6" t="s">
        <v>869</v>
      </c>
      <c r="H222" s="6" t="s">
        <v>1135</v>
      </c>
      <c r="I222" s="6"/>
      <c r="J222" s="6" t="s">
        <v>23</v>
      </c>
      <c r="K222" s="6" t="s">
        <v>32</v>
      </c>
      <c r="L222" s="6"/>
      <c r="M222" s="6"/>
      <c r="N222" s="6"/>
    </row>
    <row r="223" customFormat="false" ht="90" hidden="false" customHeight="true" outlineLevel="0" collapsed="false">
      <c r="A223" s="6" t="n">
        <v>15</v>
      </c>
      <c r="B223" s="6" t="s">
        <v>1136</v>
      </c>
      <c r="C223" s="6" t="s">
        <v>1137</v>
      </c>
      <c r="D223" s="6" t="s">
        <v>1138</v>
      </c>
      <c r="E223" s="6" t="s">
        <v>20</v>
      </c>
      <c r="F223" s="6" t="s">
        <v>1139</v>
      </c>
      <c r="G223" s="6" t="s">
        <v>1140</v>
      </c>
      <c r="H223" s="6" t="s">
        <v>1141</v>
      </c>
      <c r="I223" s="6"/>
      <c r="J223" s="6" t="s">
        <v>23</v>
      </c>
      <c r="K223" s="6" t="s">
        <v>32</v>
      </c>
      <c r="L223" s="6"/>
      <c r="M223" s="6"/>
      <c r="N223" s="6"/>
    </row>
    <row r="224" customFormat="false" ht="90" hidden="false" customHeight="true" outlineLevel="0" collapsed="false">
      <c r="A224" s="6" t="n">
        <v>16</v>
      </c>
      <c r="B224" s="6" t="s">
        <v>1142</v>
      </c>
      <c r="C224" s="6" t="s">
        <v>1143</v>
      </c>
      <c r="D224" s="6" t="s">
        <v>1144</v>
      </c>
      <c r="E224" s="6" t="s">
        <v>20</v>
      </c>
      <c r="F224" s="6" t="s">
        <v>1145</v>
      </c>
      <c r="G224" s="6" t="s">
        <v>1146</v>
      </c>
      <c r="H224" s="6" t="s">
        <v>1147</v>
      </c>
      <c r="I224" s="6"/>
      <c r="J224" s="6" t="s">
        <v>53</v>
      </c>
      <c r="K224" s="6" t="s">
        <v>32</v>
      </c>
      <c r="L224" s="6"/>
      <c r="M224" s="6"/>
      <c r="N224" s="6"/>
    </row>
    <row r="226" customFormat="false" ht="19.5" hidden="false" customHeight="true" outlineLevel="0" collapsed="false">
      <c r="A226" s="4" t="s">
        <v>1148</v>
      </c>
      <c r="B226" s="4"/>
      <c r="C226" s="4"/>
      <c r="D226" s="4"/>
      <c r="E226" s="4"/>
      <c r="F226" s="4"/>
      <c r="G226" s="4"/>
      <c r="H226" s="4"/>
      <c r="I226" s="4"/>
      <c r="J226" s="4"/>
      <c r="K226" s="4"/>
      <c r="L226" s="4"/>
      <c r="M226" s="4"/>
      <c r="N226" s="4"/>
    </row>
    <row r="227" customFormat="false" ht="21.75" hidden="false" customHeight="true" outlineLevel="0" collapsed="false">
      <c r="A227" s="5" t="s">
        <v>3</v>
      </c>
      <c r="B227" s="5" t="s">
        <v>4</v>
      </c>
      <c r="C227" s="5" t="s">
        <v>5</v>
      </c>
      <c r="D227" s="5" t="s">
        <v>6</v>
      </c>
      <c r="E227" s="5" t="s">
        <v>7</v>
      </c>
      <c r="F227" s="5" t="s">
        <v>8</v>
      </c>
      <c r="G227" s="5" t="s">
        <v>9</v>
      </c>
      <c r="H227" s="5" t="s">
        <v>10</v>
      </c>
      <c r="I227" s="5" t="s">
        <v>11</v>
      </c>
      <c r="J227" s="5" t="s">
        <v>12</v>
      </c>
      <c r="K227" s="5" t="s">
        <v>13</v>
      </c>
      <c r="L227" s="5" t="s">
        <v>14</v>
      </c>
      <c r="M227" s="5" t="s">
        <v>15</v>
      </c>
      <c r="N227" s="5" t="s">
        <v>16</v>
      </c>
    </row>
    <row r="228" customFormat="false" ht="90" hidden="false" customHeight="true" outlineLevel="0" collapsed="false">
      <c r="A228" s="6" t="n">
        <v>1</v>
      </c>
      <c r="B228" s="6" t="s">
        <v>1149</v>
      </c>
      <c r="C228" s="6" t="s">
        <v>1150</v>
      </c>
      <c r="D228" s="6" t="s">
        <v>1151</v>
      </c>
      <c r="E228" s="6" t="s">
        <v>20</v>
      </c>
      <c r="F228" s="6" t="s">
        <v>1152</v>
      </c>
      <c r="G228" s="6" t="s">
        <v>1153</v>
      </c>
      <c r="H228" s="6" t="s">
        <v>1154</v>
      </c>
      <c r="I228" s="6"/>
      <c r="J228" s="6" t="s">
        <v>23</v>
      </c>
      <c r="K228" s="6" t="s">
        <v>39</v>
      </c>
      <c r="L228" s="6"/>
      <c r="M228" s="6"/>
      <c r="N228" s="6"/>
    </row>
    <row r="229" customFormat="false" ht="90" hidden="false" customHeight="true" outlineLevel="0" collapsed="false">
      <c r="A229" s="6" t="n">
        <v>2</v>
      </c>
      <c r="B229" s="6" t="s">
        <v>1155</v>
      </c>
      <c r="C229" s="6" t="s">
        <v>1156</v>
      </c>
      <c r="D229" s="6" t="s">
        <v>1157</v>
      </c>
      <c r="E229" s="6" t="s">
        <v>20</v>
      </c>
      <c r="F229" s="6" t="s">
        <v>1158</v>
      </c>
      <c r="G229" s="6" t="s">
        <v>1159</v>
      </c>
      <c r="H229" s="6" t="s">
        <v>1160</v>
      </c>
      <c r="I229" s="6"/>
      <c r="J229" s="6" t="s">
        <v>23</v>
      </c>
      <c r="K229" s="6" t="s">
        <v>39</v>
      </c>
      <c r="L229" s="6"/>
      <c r="M229" s="6"/>
      <c r="N229" s="6"/>
    </row>
    <row r="230" customFormat="false" ht="90" hidden="false" customHeight="true" outlineLevel="0" collapsed="false">
      <c r="A230" s="6" t="n">
        <v>3</v>
      </c>
      <c r="B230" s="6" t="s">
        <v>1161</v>
      </c>
      <c r="C230" s="6" t="s">
        <v>1162</v>
      </c>
      <c r="D230" s="6" t="s">
        <v>1163</v>
      </c>
      <c r="E230" s="6" t="s">
        <v>20</v>
      </c>
      <c r="F230" s="6" t="s">
        <v>1164</v>
      </c>
      <c r="G230" s="6" t="s">
        <v>1165</v>
      </c>
      <c r="H230" s="6" t="s">
        <v>1166</v>
      </c>
      <c r="I230" s="6"/>
      <c r="J230" s="6" t="s">
        <v>23</v>
      </c>
      <c r="K230" s="6" t="s">
        <v>39</v>
      </c>
      <c r="L230" s="6"/>
      <c r="M230" s="6"/>
      <c r="N230" s="6"/>
    </row>
    <row r="231" customFormat="false" ht="90" hidden="false" customHeight="true" outlineLevel="0" collapsed="false">
      <c r="A231" s="6" t="n">
        <v>4</v>
      </c>
      <c r="B231" s="6" t="s">
        <v>1167</v>
      </c>
      <c r="C231" s="6" t="s">
        <v>1168</v>
      </c>
      <c r="D231" s="6" t="s">
        <v>1169</v>
      </c>
      <c r="E231" s="6" t="s">
        <v>20</v>
      </c>
      <c r="F231" s="6" t="s">
        <v>1170</v>
      </c>
      <c r="G231" s="6" t="s">
        <v>1171</v>
      </c>
      <c r="H231" s="6" t="s">
        <v>1172</v>
      </c>
      <c r="I231" s="6"/>
      <c r="J231" s="6" t="s">
        <v>23</v>
      </c>
      <c r="K231" s="6" t="s">
        <v>32</v>
      </c>
      <c r="L231" s="6"/>
      <c r="M231" s="6"/>
      <c r="N231" s="6"/>
    </row>
    <row r="232" customFormat="false" ht="90" hidden="false" customHeight="true" outlineLevel="0" collapsed="false">
      <c r="A232" s="6" t="n">
        <v>5</v>
      </c>
      <c r="B232" s="6" t="s">
        <v>1173</v>
      </c>
      <c r="C232" s="6" t="s">
        <v>1174</v>
      </c>
      <c r="D232" s="6" t="s">
        <v>1175</v>
      </c>
      <c r="E232" s="6" t="s">
        <v>948</v>
      </c>
      <c r="F232" s="6" t="s">
        <v>1176</v>
      </c>
      <c r="G232" s="6" t="s">
        <v>1177</v>
      </c>
      <c r="H232" s="6" t="s">
        <v>1178</v>
      </c>
      <c r="I232" s="6"/>
      <c r="J232" s="6" t="s">
        <v>53</v>
      </c>
      <c r="K232" s="6" t="s">
        <v>32</v>
      </c>
      <c r="L232" s="6"/>
      <c r="M232" s="6"/>
      <c r="N232" s="6"/>
    </row>
    <row r="233" customFormat="false" ht="90" hidden="false" customHeight="true" outlineLevel="0" collapsed="false">
      <c r="A233" s="6" t="n">
        <v>6</v>
      </c>
      <c r="B233" s="6" t="s">
        <v>1179</v>
      </c>
      <c r="C233" s="6" t="s">
        <v>1180</v>
      </c>
      <c r="D233" s="6" t="s">
        <v>1181</v>
      </c>
      <c r="E233" s="6" t="s">
        <v>948</v>
      </c>
      <c r="F233" s="6" t="s">
        <v>1182</v>
      </c>
      <c r="G233" s="6" t="s">
        <v>1183</v>
      </c>
      <c r="H233" s="6" t="s">
        <v>1184</v>
      </c>
      <c r="I233" s="6"/>
      <c r="J233" s="6" t="s">
        <v>23</v>
      </c>
      <c r="K233" s="6" t="s">
        <v>39</v>
      </c>
      <c r="L233" s="6"/>
      <c r="M233" s="6"/>
      <c r="N233" s="6"/>
    </row>
    <row r="234" customFormat="false" ht="90" hidden="false" customHeight="true" outlineLevel="0" collapsed="false">
      <c r="A234" s="6" t="n">
        <v>7</v>
      </c>
      <c r="B234" s="6" t="s">
        <v>1185</v>
      </c>
      <c r="C234" s="6" t="s">
        <v>1186</v>
      </c>
      <c r="D234" s="6" t="s">
        <v>1187</v>
      </c>
      <c r="E234" s="6" t="s">
        <v>20</v>
      </c>
      <c r="F234" s="6" t="s">
        <v>1188</v>
      </c>
      <c r="G234" s="6" t="s">
        <v>1189</v>
      </c>
      <c r="H234" s="6" t="s">
        <v>1190</v>
      </c>
      <c r="I234" s="6"/>
      <c r="J234" s="6" t="s">
        <v>23</v>
      </c>
      <c r="K234" s="6" t="s">
        <v>32</v>
      </c>
      <c r="L234" s="6"/>
      <c r="M234" s="6"/>
      <c r="N234" s="6" t="s">
        <v>216</v>
      </c>
    </row>
    <row r="235" customFormat="false" ht="90" hidden="false" customHeight="true" outlineLevel="0" collapsed="false">
      <c r="A235" s="6" t="n">
        <v>8</v>
      </c>
      <c r="B235" s="6" t="s">
        <v>1191</v>
      </c>
      <c r="C235" s="6" t="s">
        <v>1192</v>
      </c>
      <c r="D235" s="6" t="s">
        <v>1193</v>
      </c>
      <c r="E235" s="6" t="s">
        <v>20</v>
      </c>
      <c r="F235" s="6" t="s">
        <v>1194</v>
      </c>
      <c r="G235" s="6" t="s">
        <v>1195</v>
      </c>
      <c r="H235" s="6" t="s">
        <v>1196</v>
      </c>
      <c r="I235" s="6"/>
      <c r="J235" s="6" t="s">
        <v>23</v>
      </c>
      <c r="K235" s="6" t="s">
        <v>32</v>
      </c>
      <c r="L235" s="6"/>
      <c r="M235" s="6"/>
      <c r="N235" s="6" t="s">
        <v>216</v>
      </c>
    </row>
    <row r="236" customFormat="false" ht="90" hidden="false" customHeight="true" outlineLevel="0" collapsed="false">
      <c r="A236" s="6" t="n">
        <v>9</v>
      </c>
      <c r="B236" s="6" t="s">
        <v>1197</v>
      </c>
      <c r="C236" s="6" t="s">
        <v>1198</v>
      </c>
      <c r="D236" s="6" t="s">
        <v>1199</v>
      </c>
      <c r="E236" s="6" t="s">
        <v>20</v>
      </c>
      <c r="F236" s="6" t="s">
        <v>1200</v>
      </c>
      <c r="G236" s="6" t="s">
        <v>1201</v>
      </c>
      <c r="H236" s="6" t="s">
        <v>1202</v>
      </c>
      <c r="I236" s="6"/>
      <c r="J236" s="6" t="s">
        <v>53</v>
      </c>
      <c r="K236" s="6" t="s">
        <v>32</v>
      </c>
      <c r="L236" s="6"/>
      <c r="M236" s="6"/>
      <c r="N236" s="6" t="s">
        <v>216</v>
      </c>
    </row>
    <row r="237" customFormat="false" ht="90" hidden="false" customHeight="true" outlineLevel="0" collapsed="false">
      <c r="A237" s="6" t="n">
        <v>10</v>
      </c>
      <c r="B237" s="6" t="s">
        <v>1203</v>
      </c>
      <c r="C237" s="6" t="s">
        <v>1204</v>
      </c>
      <c r="D237" s="6" t="s">
        <v>1205</v>
      </c>
      <c r="E237" s="6" t="s">
        <v>20</v>
      </c>
      <c r="F237" s="6" t="s">
        <v>1206</v>
      </c>
      <c r="G237" s="6" t="s">
        <v>1207</v>
      </c>
      <c r="H237" s="6" t="s">
        <v>1208</v>
      </c>
      <c r="I237" s="6"/>
      <c r="J237" s="6" t="s">
        <v>53</v>
      </c>
      <c r="K237" s="6" t="s">
        <v>32</v>
      </c>
      <c r="L237" s="6"/>
      <c r="M237" s="6"/>
      <c r="N237" s="6" t="s">
        <v>1209</v>
      </c>
    </row>
    <row r="238" customFormat="false" ht="90" hidden="false" customHeight="true" outlineLevel="0" collapsed="false">
      <c r="A238" s="6" t="n">
        <v>11</v>
      </c>
      <c r="B238" s="6" t="s">
        <v>1210</v>
      </c>
      <c r="C238" s="6" t="s">
        <v>1211</v>
      </c>
      <c r="D238" s="6" t="s">
        <v>1212</v>
      </c>
      <c r="E238" s="6" t="s">
        <v>20</v>
      </c>
      <c r="F238" s="6" t="s">
        <v>1213</v>
      </c>
      <c r="G238" s="6" t="s">
        <v>1214</v>
      </c>
      <c r="H238" s="6" t="s">
        <v>1215</v>
      </c>
      <c r="I238" s="6"/>
      <c r="J238" s="6" t="s">
        <v>23</v>
      </c>
      <c r="K238" s="6" t="s">
        <v>39</v>
      </c>
      <c r="L238" s="6"/>
      <c r="M238" s="6"/>
      <c r="N238" s="6" t="s">
        <v>1216</v>
      </c>
    </row>
    <row r="239" customFormat="false" ht="90" hidden="false" customHeight="true" outlineLevel="0" collapsed="false">
      <c r="A239" s="6" t="n">
        <v>12</v>
      </c>
      <c r="B239" s="6" t="s">
        <v>1217</v>
      </c>
      <c r="C239" s="6" t="s">
        <v>1218</v>
      </c>
      <c r="D239" s="6" t="s">
        <v>1219</v>
      </c>
      <c r="E239" s="6" t="s">
        <v>20</v>
      </c>
      <c r="F239" s="6" t="s">
        <v>1220</v>
      </c>
      <c r="G239" s="6" t="s">
        <v>1221</v>
      </c>
      <c r="H239" s="6" t="s">
        <v>1222</v>
      </c>
      <c r="I239" s="6"/>
      <c r="J239" s="6" t="s">
        <v>53</v>
      </c>
      <c r="K239" s="6" t="s">
        <v>32</v>
      </c>
      <c r="L239" s="6"/>
      <c r="M239" s="6"/>
      <c r="N239" s="6"/>
    </row>
    <row r="240" customFormat="false" ht="90" hidden="false" customHeight="true" outlineLevel="0" collapsed="false">
      <c r="A240" s="6" t="n">
        <v>13</v>
      </c>
      <c r="B240" s="6" t="s">
        <v>1223</v>
      </c>
      <c r="C240" s="6" t="s">
        <v>1224</v>
      </c>
      <c r="D240" s="6" t="s">
        <v>1225</v>
      </c>
      <c r="E240" s="6" t="s">
        <v>20</v>
      </c>
      <c r="F240" s="6" t="s">
        <v>1226</v>
      </c>
      <c r="G240" s="6" t="s">
        <v>1227</v>
      </c>
      <c r="H240" s="6" t="s">
        <v>1228</v>
      </c>
      <c r="I240" s="6"/>
      <c r="J240" s="6" t="s">
        <v>23</v>
      </c>
      <c r="K240" s="6" t="s">
        <v>32</v>
      </c>
      <c r="L240" s="6"/>
      <c r="M240" s="6"/>
      <c r="N240" s="6" t="s">
        <v>1229</v>
      </c>
    </row>
    <row r="241" customFormat="false" ht="90" hidden="false" customHeight="true" outlineLevel="0" collapsed="false">
      <c r="A241" s="6" t="n">
        <v>14</v>
      </c>
      <c r="B241" s="6" t="s">
        <v>1230</v>
      </c>
      <c r="C241" s="6" t="s">
        <v>1231</v>
      </c>
      <c r="D241" s="6" t="s">
        <v>1232</v>
      </c>
      <c r="E241" s="6" t="s">
        <v>20</v>
      </c>
      <c r="F241" s="6" t="s">
        <v>1233</v>
      </c>
      <c r="G241" s="6" t="s">
        <v>1234</v>
      </c>
      <c r="H241" s="6" t="s">
        <v>1235</v>
      </c>
      <c r="I241" s="6"/>
      <c r="J241" s="6" t="s">
        <v>23</v>
      </c>
      <c r="K241" s="6" t="s">
        <v>39</v>
      </c>
      <c r="L241" s="6"/>
      <c r="M241" s="6"/>
      <c r="N241" s="6"/>
    </row>
    <row r="242" customFormat="false" ht="90" hidden="false" customHeight="true" outlineLevel="0" collapsed="false">
      <c r="A242" s="6" t="n">
        <v>15</v>
      </c>
      <c r="B242" s="6" t="s">
        <v>1236</v>
      </c>
      <c r="C242" s="6" t="s">
        <v>1237</v>
      </c>
      <c r="D242" s="6" t="s">
        <v>1238</v>
      </c>
      <c r="E242" s="6" t="s">
        <v>20</v>
      </c>
      <c r="F242" s="6" t="s">
        <v>1239</v>
      </c>
      <c r="G242" s="6" t="s">
        <v>1240</v>
      </c>
      <c r="H242" s="6" t="s">
        <v>1241</v>
      </c>
      <c r="I242" s="6"/>
      <c r="J242" s="6" t="s">
        <v>23</v>
      </c>
      <c r="K242" s="6" t="s">
        <v>24</v>
      </c>
      <c r="L242" s="6"/>
      <c r="M242" s="6"/>
      <c r="N242" s="6" t="s">
        <v>1242</v>
      </c>
    </row>
    <row r="243" customFormat="false" ht="90" hidden="false" customHeight="true" outlineLevel="0" collapsed="false">
      <c r="A243" s="6" t="n">
        <v>16</v>
      </c>
      <c r="B243" s="6" t="s">
        <v>1243</v>
      </c>
      <c r="C243" s="6" t="s">
        <v>1244</v>
      </c>
      <c r="D243" s="6" t="s">
        <v>1245</v>
      </c>
      <c r="E243" s="6" t="s">
        <v>20</v>
      </c>
      <c r="F243" s="6" t="s">
        <v>1246</v>
      </c>
      <c r="G243" s="6" t="s">
        <v>1247</v>
      </c>
      <c r="H243" s="6" t="s">
        <v>1248</v>
      </c>
      <c r="I243" s="6"/>
      <c r="J243" s="6" t="s">
        <v>23</v>
      </c>
      <c r="K243" s="6" t="s">
        <v>32</v>
      </c>
      <c r="L243" s="6"/>
      <c r="M243" s="6"/>
      <c r="N243" s="6"/>
    </row>
    <row r="244" customFormat="false" ht="90" hidden="false" customHeight="true" outlineLevel="0" collapsed="false">
      <c r="A244" s="6" t="n">
        <v>17</v>
      </c>
      <c r="B244" s="6" t="s">
        <v>1249</v>
      </c>
      <c r="C244" s="6" t="s">
        <v>1250</v>
      </c>
      <c r="D244" s="6" t="s">
        <v>1251</v>
      </c>
      <c r="E244" s="6" t="s">
        <v>20</v>
      </c>
      <c r="F244" s="6" t="s">
        <v>1252</v>
      </c>
      <c r="G244" s="6" t="s">
        <v>1253</v>
      </c>
      <c r="H244" s="6" t="s">
        <v>1254</v>
      </c>
      <c r="I244" s="6"/>
      <c r="J244" s="6" t="s">
        <v>23</v>
      </c>
      <c r="K244" s="6" t="s">
        <v>32</v>
      </c>
      <c r="L244" s="6"/>
      <c r="M244" s="6"/>
      <c r="N244" s="6"/>
    </row>
  </sheetData>
  <mergeCells count="17">
    <mergeCell ref="A1:N1"/>
    <mergeCell ref="A2:N2"/>
    <mergeCell ref="A3:N3"/>
    <mergeCell ref="A4:N4"/>
    <mergeCell ref="A19:N19"/>
    <mergeCell ref="A42:N42"/>
    <mergeCell ref="A60:N60"/>
    <mergeCell ref="A73:N73"/>
    <mergeCell ref="A88:N88"/>
    <mergeCell ref="A101:N101"/>
    <mergeCell ref="A118:N118"/>
    <mergeCell ref="A131:N131"/>
    <mergeCell ref="A146:N146"/>
    <mergeCell ref="A171:N171"/>
    <mergeCell ref="A190:N190"/>
    <mergeCell ref="A207:N207"/>
    <mergeCell ref="A226:N226"/>
  </mergeCells>
  <dataValidations count="2">
    <dataValidation allowBlank="true" errorStyle="stop" operator="between" showDropDown="false" showErrorMessage="false" showInputMessage="false" sqref="J6:J17 J21:J40 J44:J58 J62:J71 J75:J86 J90:J99 J103:J116 J120:J129 J133:J144 J148:J169 J173:J188 J192:J205 J209:J224 J228:J244" type="list">
      <formula1>"Pass,Fail,Blocked,Untested"</formula1>
      <formula2>0</formula2>
    </dataValidation>
    <dataValidation allowBlank="true" errorStyle="stop" operator="between" showDropDown="false" showErrorMessage="false" showInputMessage="false" sqref="K6:K17 K21:K40 K44:K58 K62:K71 K75:K86 K90:K99 K103:K116 K120:K129 K133:K144 K148:K169 K173:K188 K192:K205 K209:K224 K228:K244" type="list">
      <formula1>"Critical,Major,Minor"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false" showRowColHeaders="true" showZeros="true" rightToLeft="false" tabSelected="false" showOutlineSymbols="true" defaultGridColor="true" view="normal" topLeftCell="A19" colorId="64" zoomScale="100" zoomScaleNormal="100" zoomScalePageLayoutView="100" workbookViewId="0">
      <selection pane="topLeft" activeCell="B9" activeCellId="0" sqref="B9"/>
    </sheetView>
  </sheetViews>
  <sheetFormatPr defaultColWidth="8.66796875" defaultRowHeight="14.25" zeroHeight="false" outlineLevelRow="0" outlineLevelCol="0"/>
  <cols>
    <col collapsed="false" customWidth="true" hidden="false" outlineLevel="0" max="1" min="1" style="0" width="42"/>
    <col collapsed="false" customWidth="true" hidden="false" outlineLevel="0" max="2" min="2" style="0" width="16"/>
  </cols>
  <sheetData>
    <row r="1" customFormat="false" ht="27.75" hidden="false" customHeight="true" outlineLevel="0" collapsed="false">
      <c r="A1" s="7" t="s">
        <v>1255</v>
      </c>
      <c r="B1" s="7"/>
    </row>
    <row r="3" customFormat="false" ht="15" hidden="false" customHeight="true" outlineLevel="0" collapsed="false">
      <c r="A3" s="8" t="s">
        <v>1256</v>
      </c>
      <c r="B3" s="8" t="s">
        <v>1257</v>
      </c>
    </row>
    <row r="4" customFormat="false" ht="15" hidden="false" customHeight="true" outlineLevel="0" collapsed="false">
      <c r="A4" s="9" t="s">
        <v>1258</v>
      </c>
      <c r="B4" s="10" t="n">
        <f aca="false">COUNTA('Test Cases'!B4:B245)-14</f>
        <v>199</v>
      </c>
    </row>
    <row r="5" customFormat="false" ht="15" hidden="false" customHeight="true" outlineLevel="0" collapsed="false">
      <c r="A5" s="9" t="s">
        <v>1259</v>
      </c>
      <c r="B5" s="11" t="n">
        <f aca="false">COUNTIF('Test Cases'!J4:J245,"Pass")</f>
        <v>160</v>
      </c>
    </row>
    <row r="6" customFormat="false" ht="15" hidden="false" customHeight="true" outlineLevel="0" collapsed="false">
      <c r="A6" s="9" t="s">
        <v>1260</v>
      </c>
      <c r="B6" s="11" t="n">
        <f aca="false">COUNTIF('Test Cases'!J4:J245,"Fail")</f>
        <v>37</v>
      </c>
    </row>
    <row r="7" customFormat="false" ht="15" hidden="false" customHeight="true" outlineLevel="0" collapsed="false">
      <c r="A7" s="9" t="s">
        <v>1261</v>
      </c>
      <c r="B7" s="11" t="n">
        <f aca="false">COUNTIF('Test Cases'!J4:J245,"Blocked")</f>
        <v>0</v>
      </c>
    </row>
    <row r="8" customFormat="false" ht="15" hidden="false" customHeight="true" outlineLevel="0" collapsed="false">
      <c r="A8" s="9" t="s">
        <v>1262</v>
      </c>
      <c r="B8" s="11" t="n">
        <f aca="false">COUNTIF('Test Cases'!J4:J245,"Untested")</f>
        <v>2</v>
      </c>
    </row>
    <row r="9" customFormat="false" ht="15" hidden="false" customHeight="true" outlineLevel="0" collapsed="false">
      <c r="A9" s="9" t="s">
        <v>1263</v>
      </c>
      <c r="B9" s="11" t="s">
        <v>1264</v>
      </c>
    </row>
    <row r="11" customFormat="false" ht="15" hidden="false" customHeight="true" outlineLevel="0" collapsed="false">
      <c r="A11" s="4" t="s">
        <v>1265</v>
      </c>
      <c r="B11" s="4"/>
    </row>
    <row r="12" customFormat="false" ht="15" hidden="false" customHeight="true" outlineLevel="0" collapsed="false">
      <c r="A12" s="8" t="s">
        <v>1266</v>
      </c>
      <c r="B12" s="8" t="s">
        <v>1267</v>
      </c>
    </row>
    <row r="13" customFormat="false" ht="15" hidden="false" customHeight="true" outlineLevel="0" collapsed="false">
      <c r="A13" s="9" t="s">
        <v>1268</v>
      </c>
      <c r="B13" s="11" t="n">
        <v>12</v>
      </c>
    </row>
    <row r="14" customFormat="false" ht="15" hidden="false" customHeight="true" outlineLevel="0" collapsed="false">
      <c r="A14" s="9" t="s">
        <v>1269</v>
      </c>
      <c r="B14" s="11" t="n">
        <v>20</v>
      </c>
    </row>
    <row r="15" customFormat="false" ht="15" hidden="false" customHeight="true" outlineLevel="0" collapsed="false">
      <c r="A15" s="9" t="s">
        <v>1270</v>
      </c>
      <c r="B15" s="11" t="n">
        <v>15</v>
      </c>
    </row>
    <row r="16" customFormat="false" ht="15" hidden="false" customHeight="true" outlineLevel="0" collapsed="false">
      <c r="A16" s="9" t="s">
        <v>1271</v>
      </c>
      <c r="B16" s="11" t="n">
        <v>10</v>
      </c>
    </row>
    <row r="17" customFormat="false" ht="15" hidden="false" customHeight="true" outlineLevel="0" collapsed="false">
      <c r="A17" s="9" t="s">
        <v>1272</v>
      </c>
      <c r="B17" s="11" t="n">
        <v>12</v>
      </c>
    </row>
    <row r="18" customFormat="false" ht="15" hidden="false" customHeight="true" outlineLevel="0" collapsed="false">
      <c r="A18" s="9" t="s">
        <v>1273</v>
      </c>
      <c r="B18" s="11" t="n">
        <v>10</v>
      </c>
    </row>
    <row r="19" customFormat="false" ht="15" hidden="false" customHeight="true" outlineLevel="0" collapsed="false">
      <c r="A19" s="9" t="s">
        <v>1274</v>
      </c>
      <c r="B19" s="11" t="n">
        <v>14</v>
      </c>
    </row>
    <row r="20" customFormat="false" ht="15" hidden="false" customHeight="true" outlineLevel="0" collapsed="false">
      <c r="A20" s="9" t="s">
        <v>1275</v>
      </c>
      <c r="B20" s="11" t="n">
        <v>10</v>
      </c>
    </row>
    <row r="21" customFormat="false" ht="15" hidden="false" customHeight="true" outlineLevel="0" collapsed="false">
      <c r="A21" s="9" t="s">
        <v>1276</v>
      </c>
      <c r="B21" s="11" t="n">
        <v>12</v>
      </c>
    </row>
    <row r="22" customFormat="false" ht="15" hidden="false" customHeight="true" outlineLevel="0" collapsed="false">
      <c r="A22" s="9" t="s">
        <v>1277</v>
      </c>
      <c r="B22" s="11" t="n">
        <v>22</v>
      </c>
    </row>
    <row r="23" customFormat="false" ht="15" hidden="false" customHeight="true" outlineLevel="0" collapsed="false">
      <c r="A23" s="9" t="s">
        <v>1278</v>
      </c>
      <c r="B23" s="11" t="n">
        <v>16</v>
      </c>
    </row>
    <row r="24" customFormat="false" ht="15" hidden="false" customHeight="true" outlineLevel="0" collapsed="false">
      <c r="A24" s="9" t="s">
        <v>1279</v>
      </c>
      <c r="B24" s="11" t="n">
        <v>14</v>
      </c>
    </row>
    <row r="25" customFormat="false" ht="15" hidden="false" customHeight="true" outlineLevel="0" collapsed="false">
      <c r="A25" s="9" t="s">
        <v>1280</v>
      </c>
      <c r="B25" s="11" t="n">
        <v>16</v>
      </c>
    </row>
    <row r="26" customFormat="false" ht="15" hidden="false" customHeight="true" outlineLevel="0" collapsed="false">
      <c r="A26" s="9" t="s">
        <v>1281</v>
      </c>
      <c r="B26" s="11" t="n">
        <v>17</v>
      </c>
    </row>
    <row r="28" customFormat="false" ht="15" hidden="false" customHeight="true" outlineLevel="0" collapsed="false">
      <c r="A28" s="4" t="s">
        <v>1282</v>
      </c>
      <c r="B28" s="4"/>
    </row>
    <row r="29" customFormat="false" ht="15" hidden="false" customHeight="true" outlineLevel="0" collapsed="false">
      <c r="A29" s="8" t="s">
        <v>13</v>
      </c>
      <c r="B29" s="8" t="s">
        <v>1267</v>
      </c>
    </row>
    <row r="30" customFormat="false" ht="15" hidden="false" customHeight="true" outlineLevel="0" collapsed="false">
      <c r="A30" s="9" t="s">
        <v>24</v>
      </c>
      <c r="B30" s="11" t="n">
        <f aca="false">COUNTIF('Test Cases'!K4:K245,"Critical")</f>
        <v>17</v>
      </c>
    </row>
    <row r="31" customFormat="false" ht="15" hidden="false" customHeight="true" outlineLevel="0" collapsed="false">
      <c r="A31" s="9" t="s">
        <v>39</v>
      </c>
      <c r="B31" s="11" t="n">
        <f aca="false">COUNTIF('Test Cases'!K4:K245,"Major")</f>
        <v>65</v>
      </c>
    </row>
    <row r="32" customFormat="false" ht="15" hidden="false" customHeight="true" outlineLevel="0" collapsed="false">
      <c r="A32" s="9" t="s">
        <v>32</v>
      </c>
      <c r="B32" s="11" t="n">
        <f aca="false">COUNTIF('Test Cases'!K4:K245,"Minor")</f>
        <v>117</v>
      </c>
    </row>
  </sheetData>
  <mergeCells count="3">
    <mergeCell ref="A1:B1"/>
    <mergeCell ref="A11:B11"/>
    <mergeCell ref="A28:B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125"/>
  </cols>
  <sheetData>
    <row r="1" customFormat="false" ht="33.75" hidden="false" customHeight="true" outlineLevel="0" collapsed="false">
      <c r="A1" s="12" t="s">
        <v>1283</v>
      </c>
    </row>
    <row r="2" customFormat="false" ht="7.5" hidden="false" customHeight="true" outlineLevel="0" collapsed="false">
      <c r="A2" s="13"/>
    </row>
    <row r="3" customFormat="false" ht="25.5" hidden="false" customHeight="true" outlineLevel="0" collapsed="false">
      <c r="A3" s="14" t="s">
        <v>1284</v>
      </c>
    </row>
    <row r="4" customFormat="false" ht="39.75" hidden="false" customHeight="true" outlineLevel="0" collapsed="false">
      <c r="A4" s="15" t="s">
        <v>1285</v>
      </c>
    </row>
    <row r="5" customFormat="false" ht="39.75" hidden="false" customHeight="true" outlineLevel="0" collapsed="false">
      <c r="A5" s="15" t="s">
        <v>1286</v>
      </c>
    </row>
    <row r="6" customFormat="false" ht="55.5" hidden="false" customHeight="true" outlineLevel="0" collapsed="false">
      <c r="A6" s="15" t="s">
        <v>1287</v>
      </c>
    </row>
    <row r="7" customFormat="false" ht="7.5" hidden="false" customHeight="true" outlineLevel="0" collapsed="false">
      <c r="A7" s="13"/>
    </row>
    <row r="8" customFormat="false" ht="25.5" hidden="false" customHeight="true" outlineLevel="0" collapsed="false">
      <c r="A8" s="14" t="s">
        <v>1288</v>
      </c>
    </row>
    <row r="9" customFormat="false" ht="55.5" hidden="false" customHeight="true" outlineLevel="0" collapsed="false">
      <c r="A9" s="15" t="s">
        <v>1289</v>
      </c>
    </row>
    <row r="10" customFormat="false" ht="39.75" hidden="false" customHeight="true" outlineLevel="0" collapsed="false">
      <c r="A10" s="15" t="s">
        <v>1290</v>
      </c>
    </row>
    <row r="11" customFormat="false" ht="24" hidden="false" customHeight="true" outlineLevel="0" collapsed="false">
      <c r="A11" s="15" t="s">
        <v>1291</v>
      </c>
    </row>
    <row r="12" customFormat="false" ht="7.5" hidden="false" customHeight="true" outlineLevel="0" collapsed="false">
      <c r="A12" s="13"/>
    </row>
    <row r="13" customFormat="false" ht="25.5" hidden="false" customHeight="true" outlineLevel="0" collapsed="false">
      <c r="A13" s="14" t="s">
        <v>1292</v>
      </c>
    </row>
    <row r="14" customFormat="false" ht="24" hidden="false" customHeight="true" outlineLevel="0" collapsed="false">
      <c r="A14" s="15" t="s">
        <v>1293</v>
      </c>
    </row>
    <row r="15" customFormat="false" ht="24" hidden="false" customHeight="true" outlineLevel="0" collapsed="false">
      <c r="A15" s="15" t="s">
        <v>1294</v>
      </c>
    </row>
    <row r="16" customFormat="false" ht="24" hidden="false" customHeight="true" outlineLevel="0" collapsed="false">
      <c r="A16" s="15" t="s">
        <v>1295</v>
      </c>
    </row>
    <row r="17" customFormat="false" ht="24" hidden="false" customHeight="true" outlineLevel="0" collapsed="false">
      <c r="A17" s="15" t="s">
        <v>1296</v>
      </c>
    </row>
    <row r="18" customFormat="false" ht="24" hidden="false" customHeight="true" outlineLevel="0" collapsed="false">
      <c r="A18" s="15" t="s">
        <v>1297</v>
      </c>
    </row>
    <row r="19" customFormat="false" ht="24" hidden="false" customHeight="true" outlineLevel="0" collapsed="false">
      <c r="A19" s="15" t="s">
        <v>1298</v>
      </c>
    </row>
    <row r="20" customFormat="false" ht="24" hidden="false" customHeight="true" outlineLevel="0" collapsed="false">
      <c r="A20" s="15" t="s">
        <v>1299</v>
      </c>
    </row>
    <row r="21" customFormat="false" ht="24" hidden="false" customHeight="true" outlineLevel="0" collapsed="false">
      <c r="A21" s="15" t="s">
        <v>1300</v>
      </c>
    </row>
    <row r="22" customFormat="false" ht="24" hidden="false" customHeight="true" outlineLevel="0" collapsed="false">
      <c r="A22" s="15" t="s">
        <v>1301</v>
      </c>
    </row>
    <row r="23" customFormat="false" ht="24" hidden="false" customHeight="true" outlineLevel="0" collapsed="false">
      <c r="A23" s="15" t="s">
        <v>1302</v>
      </c>
    </row>
    <row r="24" customFormat="false" ht="24" hidden="false" customHeight="true" outlineLevel="0" collapsed="false">
      <c r="A24" s="15" t="s">
        <v>1303</v>
      </c>
    </row>
    <row r="25" customFormat="false" ht="24" hidden="false" customHeight="true" outlineLevel="0" collapsed="false">
      <c r="A25" s="15" t="s">
        <v>1304</v>
      </c>
    </row>
    <row r="26" customFormat="false" ht="24" hidden="false" customHeight="true" outlineLevel="0" collapsed="false">
      <c r="A26" s="15" t="s">
        <v>1305</v>
      </c>
    </row>
    <row r="27" customFormat="false" ht="39.75" hidden="false" customHeight="true" outlineLevel="0" collapsed="false">
      <c r="A27" s="15" t="s">
        <v>1306</v>
      </c>
    </row>
    <row r="28" customFormat="false" ht="7.5" hidden="false" customHeight="true" outlineLevel="0" collapsed="false">
      <c r="A28" s="13"/>
    </row>
    <row r="29" customFormat="false" ht="25.5" hidden="false" customHeight="true" outlineLevel="0" collapsed="false">
      <c r="A29" s="14" t="s">
        <v>1307</v>
      </c>
    </row>
    <row r="30" customFormat="false" ht="24" hidden="false" customHeight="true" outlineLevel="0" collapsed="false">
      <c r="A30" s="15" t="s">
        <v>1308</v>
      </c>
    </row>
    <row r="31" customFormat="false" ht="24" hidden="false" customHeight="true" outlineLevel="0" collapsed="false">
      <c r="A31" s="15" t="s">
        <v>1309</v>
      </c>
    </row>
    <row r="32" customFormat="false" ht="39.75" hidden="false" customHeight="true" outlineLevel="0" collapsed="false">
      <c r="A32" s="15" t="s">
        <v>1310</v>
      </c>
    </row>
    <row r="33" customFormat="false" ht="24" hidden="false" customHeight="true" outlineLevel="0" collapsed="false">
      <c r="A33" s="15" t="s">
        <v>1311</v>
      </c>
    </row>
    <row r="34" customFormat="false" ht="7.5" hidden="false" customHeight="true" outlineLevel="0" collapsed="false">
      <c r="A34" s="13"/>
    </row>
    <row r="35" customFormat="false" ht="25.5" hidden="false" customHeight="true" outlineLevel="0" collapsed="false">
      <c r="A35" s="14" t="s">
        <v>1312</v>
      </c>
    </row>
    <row r="36" customFormat="false" ht="39.75" hidden="false" customHeight="true" outlineLevel="0" collapsed="false">
      <c r="A36" s="15" t="s">
        <v>1313</v>
      </c>
    </row>
    <row r="37" customFormat="false" ht="39.75" hidden="false" customHeight="true" outlineLevel="0" collapsed="false">
      <c r="A37" s="15" t="s">
        <v>1314</v>
      </c>
    </row>
    <row r="38" customFormat="false" ht="39.75" hidden="false" customHeight="true" outlineLevel="0" collapsed="false">
      <c r="A38" s="15" t="s">
        <v>1315</v>
      </c>
    </row>
    <row r="39" customFormat="false" ht="24" hidden="false" customHeight="true" outlineLevel="0" collapsed="false">
      <c r="A39" s="15" t="s">
        <v>1316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2026-09-23T06:57:18Z</dcterms:created>
  <dc:creator>openpyxl</dc:creator>
  <dc:description/>
  <dc:language>en-US</dc:language>
  <cp:lastModifiedBy>Administrator</cp:lastModifiedBy>
  <dcterms:modified xsi:type="dcterms:W3CDTF">2026-09-27T01:53:58Z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