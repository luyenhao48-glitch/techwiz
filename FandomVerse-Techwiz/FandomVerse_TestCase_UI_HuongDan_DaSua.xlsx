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Github\TechWir\FandomVerse-Techwir\"/>
    </mc:Choice>
  </mc:AlternateContent>
  <bookViews>
    <workbookView xWindow="0" yWindow="0" windowWidth="16380" windowHeight="8196" tabRatio="500"/>
  </bookViews>
  <sheets>
    <sheet name="Test Cases" sheetId="1" r:id="rId1"/>
    <sheet name="Tổng hợp" sheetId="2" r:id="rId2"/>
    <sheet name="Hướng dẫn" sheetId="3" r:id="rId3"/>
  </sheets>
  <definedNames>
    <definedName name="_xlnm.Print_Area" localSheetId="2">'Hướng dẫn'!$A$1:$A$39</definedName>
  </definedNames>
  <calcPr calcId="162913" iterateDelta="1E-4"/>
</workbook>
</file>

<file path=xl/calcChain.xml><?xml version="1.0" encoding="utf-8"?>
<calcChain xmlns="http://schemas.openxmlformats.org/spreadsheetml/2006/main">
  <c r="B32" i="2" l="1"/>
  <c r="B31" i="2"/>
  <c r="B30" i="2"/>
  <c r="B26" i="2"/>
  <c r="B25" i="2"/>
  <c r="B24" i="2"/>
  <c r="B23" i="2"/>
  <c r="B22" i="2"/>
  <c r="B21" i="2"/>
  <c r="B20" i="2"/>
  <c r="B19" i="2"/>
  <c r="B18" i="2"/>
  <c r="B17" i="2"/>
  <c r="B16" i="2"/>
  <c r="B15" i="2"/>
  <c r="B14" i="2"/>
  <c r="B13" i="2"/>
  <c r="B8" i="2"/>
  <c r="B7" i="2"/>
  <c r="B6" i="2"/>
  <c r="B5" i="2"/>
  <c r="B4" i="2"/>
</calcChain>
</file>

<file path=xl/sharedStrings.xml><?xml version="1.0" encoding="utf-8"?>
<sst xmlns="http://schemas.openxmlformats.org/spreadsheetml/2006/main" count="2122" uniqueCount="1320">
  <si>
    <t>BỘ TEST CASE GIAO DIỆN (FRONTEND) - DỰ ÁN FANDOMVERSE</t>
  </si>
  <si>
    <t>Dự án: FandomVerse   |   Phiên bản: v1.0 (UI-only)   |   Ngày cập nhật: 23/09/2026   |   Người tạo: [Tên QA]   |   Phạm vi: Chỉ kiểm thử giao diện (Frontend) SPA client-side, không gọi API backend thực tế, không kiểm tra Database</t>
  </si>
  <si>
    <t>A. TRANG CHỦ (HOME PAGE)  (12 test case)</t>
  </si>
  <si>
    <t>STT</t>
  </si>
  <si>
    <t>ID/Mã kiểm thử</t>
  </si>
  <si>
    <t>Tên kiểm thử</t>
  </si>
  <si>
    <t>Mô tả kiểm thử</t>
  </si>
  <si>
    <t>Môi trường kiểm thử</t>
  </si>
  <si>
    <t>Các bước thực hiện</t>
  </si>
  <si>
    <t>Dữ liệu để kiểm thử</t>
  </si>
  <si>
    <t>Kết quả mong đợi</t>
  </si>
  <si>
    <t>Kết quả thực tế</t>
  </si>
  <si>
    <t>Đánh giá</t>
  </si>
  <si>
    <t>Mức độ ưu tiên</t>
  </si>
  <si>
    <t>Người thực hiện</t>
  </si>
  <si>
    <t>Ngày thực hiện</t>
  </si>
  <si>
    <t>Ghi chú</t>
  </si>
  <si>
    <t>TC_HOME_01</t>
  </si>
  <si>
    <t>Hiển thị đầy đủ thành phần giao diện trang chủ khi tải lần đầu</t>
  </si>
  <si>
    <t>Kiểm tra khi mở trang chủ lần đầu, toàn bộ thành phần UI cốt lõi (logo, tiêu đề, giới thiệu, nav, carousel, chatbot) hiển thị đầy đủ.</t>
  </si>
  <si>
    <t>Web: Chrome 125+, Firefox 126+, Safari 17+ / Windows 11 &amp; macOS
URL: https://fandomverse.example.com/#home</t>
  </si>
  <si>
    <t>1. Mở trình duyệt, truy cập URL trang chủ
2. Quan sát toàn bộ khung màn hình từ trên xuống dưới
3. Đối chiếu với danh sách thành phần yêu cầu ở SRS mục 1.6.1</t>
  </si>
  <si>
    <t>Không cần dữ liệu nhập - chỉ quan sát giao diện tải lần đầu</t>
  </si>
  <si>
    <t>- Logo portal, tiêu đề động, đoạn giới thiệu hiển thị đầy đủ, không lỗi ảnh vỡ.
- Thanh điều hướng 7 danh mục hiển thị đúng.
- Carousel nội dung nổi bật và icon chatbot hiển thị.
- Không có phần tử nào bị che khuất hoặc lỗi layout.</t>
  </si>
  <si>
    <t>Untested</t>
  </si>
  <si>
    <t>Critical</t>
  </si>
  <si>
    <t>Happy path - luôn chạy đầu tiên trong nhóm Trang chủ.</t>
  </si>
  <si>
    <t>TC_HOME_02</t>
  </si>
  <si>
    <t>Hiệu ứng animation tiêu đề chạy mượt, không giật/lag</t>
  </si>
  <si>
    <t>Kiểm tra tiêu đề động (animated title heading) trên trang chủ chạy hiệu ứng đúng như thiết kế và không gây giật hình.</t>
  </si>
  <si>
    <t>1. Truy cập trang chủ, tải lại trang (F5) 3 lần liên tiếp
2. Quan sát hiệu ứng chữ/logo tại vùng tiêu đề mỗi lần tải
3. Dùng DevTools &gt; Performance ghi lại 5s đầu để kiểm tra FPS</t>
  </si>
  <si>
    <t>Không có dữ liệu nhập cụ thể</t>
  </si>
  <si>
    <t>Hiệu ứng animation chạy mượt (không giật, không nháy), lặp lại nhất quán qua các lần tải; FPS không tụt xuống dưới ngưỡng gây khó chịu (ước lượng quan sát).</t>
  </si>
  <si>
    <t>Minor</t>
  </si>
  <si>
    <t>TC_HOME_03</t>
  </si>
  <si>
    <t>Thanh điều hướng hiển thị đủ 7 danh mục đúng thứ tự</t>
  </si>
  <si>
    <t>Kiểm tra navbar/grid điều hướng trang chủ hiển thị đầy đủ và đúng thứ tự 7 danh mục theo SRS.</t>
  </si>
  <si>
    <t>1. Truy cập trang chủ
2. Quan sát danh sách danh mục trên thanh điều hướng hoặc lưới danh mục
3. Đối chiếu tên và thứ tự với SRS mục 1.2</t>
  </si>
  <si>
    <t>Danh sách kỳ vọng: Anime, Gaming, Movies, TV Shows, K-Pop, Comics, Manga</t>
  </si>
  <si>
    <t>Hiển thị đầy đủ và đúng thứ tự 7 danh mục, không thiếu/thừa/sai chính tả tên danh mục.</t>
  </si>
  <si>
    <t>Major</t>
  </si>
  <si>
    <t>TC_HOME_04</t>
  </si>
  <si>
    <t>Click từng danh mục điều hướng đúng tới Category Hub tương ứng</t>
  </si>
  <si>
    <t>Kiểm tra khi click vào mỗi mục trên navbar, hệ thống điều hướng đúng tới trang Category Hub tương ứng (data-driven cho cả 7 danh mục).</t>
  </si>
  <si>
    <t>1. Truy cập trang chủ
2. Lần lượt click từng danh mục trong navbar (7 lần)
3. Sau mỗi lần click, quan sát URL hash và tiêu đề trang hiển thị</t>
  </si>
  <si>
    <t>7 danh mục: Anime, Gaming, Movies, TV Shows, K-Pop, Comics, Manga</t>
  </si>
  <si>
    <t>Mỗi lần click điều hướng đúng tới Category Hub tương ứng (URL đổi đúng hash, tiêu đề trang khớp tên danh mục), không nhảy nhầm trang.</t>
  </si>
  <si>
    <t>Data-driven testing cho 7 danh mục.</t>
  </si>
  <si>
    <t>TC_HOME_05</t>
  </si>
  <si>
    <t>Carousel nội dung nổi bật tự động chuyển slide theo thời gian</t>
  </si>
  <si>
    <t>Kiểm tra khu vực Featured Content trên trang chủ tự động chuyển slide sau một khoảng thời gian cố định.</t>
  </si>
  <si>
    <t>1. Truy cập trang chủ
2. Không thao tác gì, quan sát và bấm giờ khoảng thời gian giữa 2 lần chuyển slide liên tiếp (đo 3 lần)
3. Ghi nhận nội dung hiển thị ở mỗi slide</t>
  </si>
  <si>
    <t>Carousel tự động chuyển slide theo chu kỳ thời gian nhất quán (sai số nhỏ), nội dung mỗi slide hiển thị đúng ảnh/tiêu đề tương ứng dữ liệu JSON.</t>
  </si>
  <si>
    <t>TC_HOME_06</t>
  </si>
  <si>
    <t>Điều hướng thủ công carousel bằng nút Next/Prev và chấm chỉ số</t>
  </si>
  <si>
    <t>Kiểm tra người dùng có thể chủ động chuyển slide bằng nút mũi tên hoặc click vào chấm chỉ số (dots).</t>
  </si>
  <si>
    <t>1. Truy cập trang chủ
2. Click nút Next 2 lần, quan sát slide chuyển đúng thứ tự
3. Click nút Prev 1 lần, quan sát quay lại đúng slide trước
4. Click trực tiếp vào 1 chấm chỉ số bất kỳ</t>
  </si>
  <si>
    <t>Slide chuyển đúng theo thao tác người dùng ở cả 3 cách; chấm chỉ số đang active cập nhật đúng vị trí slide hiện tại.</t>
  </si>
  <si>
    <t>TC_HOME_07</t>
  </si>
  <si>
    <t>Click item carousel điều hướng đúng tới trang chi tiết</t>
  </si>
  <si>
    <t>Kiểm tra khi click vào 1 item trong carousel Featured Content, hệ thống điều hướng đúng tới trang chi tiết nội dung tương ứng.</t>
  </si>
  <si>
    <t>1. Truy cập trang chủ
2. Ghi nhận tiêu đề item đang hiển thị trên carousel
3. Click vào item đó
4. Quan sát trang được điều hướng tới</t>
  </si>
  <si>
    <t>Item carousel bất kỳ đang hiển thị (bài viết/trailer/sự kiện)</t>
  </si>
  <si>
    <t>Điều hướng đúng tới trang chi tiết của item đã click, nội dung trang chi tiết khớp với item đã chọn trên carousel.</t>
  </si>
  <si>
    <t>TC_HOME_08</t>
  </si>
  <si>
    <t>Icon Chatbot Launcher luôn hiển thị cố định khi cuộn trang</t>
  </si>
  <si>
    <t>Kiểm tra icon chatbot nổi (floating) giữ nguyên vị trí cố định trên màn hình khi người dùng cuộn trang chủ.</t>
  </si>
  <si>
    <t>1. Truy cập trang chủ
2. Cuộn trang xuống hết nội dung (scroll to bottom)
3. Quan sát vị trí icon chatbot trong suốt quá trình cuộn</t>
  </si>
  <si>
    <t>Icon chatbot luôn hiển thị cố định (fixed position) ở cùng 1 vị trí góc màn hình trong suốt quá trình cuộn trang, không bị che bởi nội dung khác.</t>
  </si>
  <si>
    <t>TC_HOME_09</t>
  </si>
  <si>
    <t>Trang chủ hiển thị đúng và responsive trên thiết bị di động</t>
  </si>
  <si>
    <t>Kiểm tra layout trang chủ chuyển đổi đúng sang giao diện mobile (menu hamburger, carousel dạng dọc/vuốt) khi truy cập từ thiết bị di động.</t>
  </si>
  <si>
    <t>1. Mở trình duyệt mobile hoặc thu nhỏ viewport về 375px
2. Truy cập trang chủ
3. Kiểm tra menu điều hướng chuyển thành dạng hamburger/thu gọn
4. Vuốt carousel Featured Content</t>
  </si>
  <si>
    <t>Layout không bị vỡ, không tràn ngang; menu điều hướng thu gọn dạng hamburger hoạt động đúng; carousel vuốt được bằng thao tác chạm (swipe).</t>
  </si>
  <si>
    <t>TC_HOME_10</t>
  </si>
  <si>
    <t>Trang chủ hiển thị trạng thái loading khi đang tải dữ liệu JSON</t>
  </si>
  <si>
    <t>Kiểm tra giao diện hiển thị skeleton/spinner hợp lý trong lúc các file JSON dữ liệu Featured Content đang được fetch.</t>
  </si>
  <si>
    <t>1. Mở DevTools &gt; Network, bật Throttling "Slow 3G"
2. Truy cập/tải lại trang chủ
3. Quan sát trạng thái giao diện trong lúc dữ liệu đang tải</t>
  </si>
  <si>
    <t>Điều kiện mạng: Slow 3G (throttled)</t>
  </si>
  <si>
    <t>Hiển thị skeleton loading hoặc spinner tại khu vực carousel/nội dung đang chờ dữ liệu, không hiển thị khung trắng/lỗi trong lúc chờ.</t>
  </si>
  <si>
    <t>Kiểm thử trải nghiệm khi mạng chậm.</t>
  </si>
  <si>
    <t>TC_HOME_11</t>
  </si>
  <si>
    <t>Xử lý khi file JSON Featured Content lỗi hoặc không tải được</t>
  </si>
  <si>
    <t>Kiểm tra giao diện xử lý hợp lý (không crash trắng trang) khi file JSON dữ liệu nội dung nổi bật bị lỗi hoặc không truy cập được.</t>
  </si>
  <si>
    <t>1. Dùng DevTools &gt; Network, chặn (block) request tới file contents.json hoặc events.json
2. Tải lại trang chủ
3. Quan sát khu vực Featured Content</t>
  </si>
  <si>
    <t>Request tới file JSON dữ liệu Featured Content bị chặn (giả lập lỗi tải)</t>
  </si>
  <si>
    <t>Khu vực Featured Content hiển thị thông báo lỗi/thông báo trống hợp lý (VD: "Không thể tải nội dung, vui lòng thử lại"), các phần khác của trang vẫn hoạt động bình thường, không phát sinh lỗi console nghiêm trọng.</t>
  </si>
  <si>
    <t>TC_HOME_12</t>
  </si>
  <si>
    <t>Khả năng điều hướng bàn phím cho menu và carousel trang chủ</t>
  </si>
  <si>
    <t>Kiểm tra toàn bộ navbar và carousel trên trang chủ có thể thao tác hoàn toàn bằng bàn phím (Accessibility).</t>
  </si>
  <si>
    <t>1. Truy cập trang chủ, click vào vùng nội dung để focus
2. Dùng phím Tab để di chuyển qua từng mục navbar và nút carousel
3. Dùng phím Enter để kích hoạt 1 mục navbar đang focus</t>
  </si>
  <si>
    <t>Không có dữ liệu nhập cụ thể - thao tác hoàn toàn bằng bàn phím</t>
  </si>
  <si>
    <t>Thứ tự Tab logic từ trên xuống dưới, trái sang phải; mỗi phần tử có viền focus rõ ràng; Enter kích hoạt điều hướng đúng như khi click chuột.</t>
  </si>
  <si>
    <t>Kiểm thử khả năng tiếp cận (Accessibility/A11y).</t>
  </si>
  <si>
    <t>B. DANH MỤC FANDOM (CATEGORY HUB)  (20 test case)</t>
  </si>
  <si>
    <t>TC_CAT_01</t>
  </si>
  <si>
    <t>Truy cập Category Hub Anime hiển thị đúng danh sách nội dung (Happy path)</t>
  </si>
  <si>
    <t>Kiểm tra khi truy cập Category Hub "Anime", giao diện render đúng danh sách card nội dung từ contents.json.</t>
  </si>
  <si>
    <t>Web: Chrome 125+, Firefox 126+, Safari 17+ / Windows 11 &amp; macOS
URL: https://fandomverse.example.com/#anime</t>
  </si>
  <si>
    <t>1. Truy cập trang chủ
2. Click danh mục "Anime"
3. Quan sát danh sách card nội dung hiển thị
4. Đối chiếu số lượng/nội dung với dữ liệu contents.json mẫu</t>
  </si>
  <si>
    <t>Danh mục: Anime</t>
  </si>
  <si>
    <t>Danh sách card nội dung Anime hiển thị đầy đủ, đúng dữ liệu nguồn, không có card trống hoặc dữ liệu sai danh mục.</t>
  </si>
  <si>
    <t>Happy path - chạy đầu tiên nhóm Category Hub.</t>
  </si>
  <si>
    <t>TC_CAT_02</t>
  </si>
  <si>
    <t>Card nội dung hiển thị đầy đủ các trường bắt buộc</t>
  </si>
  <si>
    <t>Kiểm tra mỗi card nội dung trong Category Hub hiển thị đủ Title, Thumbnail, Mô tả ngắn, Loại nội dung, Sub-tag.</t>
  </si>
  <si>
    <t>1. Truy cập 1 Category Hub bất kỳ (VD: Gaming)
2. Chọn ngẫu nhiên 3 card bất kỳ
3. Kiểm tra từng trường hiển thị trên mỗi card</t>
  </si>
  <si>
    <t>Danh mục: Gaming, kiểm tra 3 card ngẫu nhiên</t>
  </si>
  <si>
    <t>Mỗi card hiển thị đầy đủ 5 trường: Title, Thumbnail, Mô tả ngắn, Loại nội dung (badge/icon), Sub-tag; không có trường nào bị thiếu hoặc hiển thị "undefined".</t>
  </si>
  <si>
    <t>TC_CAT_03</t>
  </si>
  <si>
    <t>Data-driven: Truy cập đủ cả 7 Category Hub hiển thị đúng nội dung riêng biệt</t>
  </si>
  <si>
    <t>Kiểm tra lần lượt cả 7 Category Hub chỉ hiển thị đúng nội dung thuộc danh mục tương ứng, không lẫn dữ liệu danh mục khác.</t>
  </si>
  <si>
    <t>1. Lần lượt truy cập từng Category Hub: Anime, Gaming, Movies, TV Shows, K-Pop, Comics, Manga
2. Với mỗi hub, kiểm tra toàn bộ card hiển thị đều thuộc đúng danh mục đang chọn</t>
  </si>
  <si>
    <t>Mỗi Category Hub chỉ hiển thị nội dung đúng danh mục của nó, không xuất hiện card thuộc danh mục khác ở bất kỳ hub nào.</t>
  </si>
  <si>
    <t>Data-driven testing cho toàn bộ 7 danh mục.</t>
  </si>
  <si>
    <t>TC_CAT_04</t>
  </si>
  <si>
    <t>Bộ lọc theo loại nội dung hoạt động đúng</t>
  </si>
  <si>
    <t>Kiểm tra bộ lọc Content Type (Article/Gallery/Video/Audio/Character/Event/Merchandise/Release) lọc đúng danh sách card hiển thị.</t>
  </si>
  <si>
    <t>1. Truy cập Category Hub "Movies"
2. Chọn lần lượt từng loại nội dung trong bộ lọc
3. Sau mỗi lần chọn, kiểm tra danh sách card chỉ còn đúng loại đã chọn</t>
  </si>
  <si>
    <t>Danh mục: Movies; lần lượt chọn từng loại: Article, Gallery, Video, Audio, Character, Event, Merchandise, Release</t>
  </si>
  <si>
    <t>Với mỗi lựa chọn, danh sách chỉ hiển thị đúng card thuộc loại nội dung đã chọn, không lẫn loại khác.</t>
  </si>
  <si>
    <t>Data-driven cho 8 loại nội dung.</t>
  </si>
  <si>
    <t>TC_CAT_05</t>
  </si>
  <si>
    <t>Chọn nhiều bộ lọc loại nội dung cùng lúc (multi-select)</t>
  </si>
  <si>
    <t>Kiểm tra khi chọn đồng thời nhiều loại nội dung trong bộ lọc, danh sách hiển thị đúng hợp (union) các loại đã chọn.</t>
  </si>
  <si>
    <t>1. Truy cập Category Hub "Comics"
2. Tick chọn đồng thời 2 loại: "Gallery" và "Video"
3. Quan sát danh sách card kết quả</t>
  </si>
  <si>
    <t>Danh mục: Comics; chọn đồng thời: Gallery + Video</t>
  </si>
  <si>
    <t>Danh sách hiển thị đúng tất cả card thuộc loại Gallery HOẶC Video, không hiển thị loại khác, không bị trùng lặp card.</t>
  </si>
  <si>
    <t>TC_CAT_06</t>
  </si>
  <si>
    <t>Bộ lọc theo Sub-tag danh mục hoạt động đúng</t>
  </si>
  <si>
    <t>Kiểm tra bộ lọc theo Sub-tag (VD: Shounen, Isekai đối với Anime) lọc đúng danh sách card tương ứng.</t>
  </si>
  <si>
    <t>1. Truy cập Category Hub "Anime"
2. Chọn Sub-tag "Isekai" trong bộ lọc
3. Quan sát danh sách card kết quả</t>
  </si>
  <si>
    <t>Danh mục: Anime; Sub-tag: Isekai</t>
  </si>
  <si>
    <t>Danh sách chỉ hiển thị đúng các card có gắn Sub-tag "Isekai", không lẫn nội dung không thuộc sub-tag này.</t>
  </si>
  <si>
    <t>TC_CAT_07</t>
  </si>
  <si>
    <t>Sắp xếp Alphabetical (A-Z và Z-A) hoạt động đúng</t>
  </si>
  <si>
    <t>Kiểm tra tùy chọn sắp xếp theo bảng chữ cái sắp đúng thứ tự tăng dần và giảm dần theo Title.</t>
  </si>
  <si>
    <t>1. Truy cập Category Hub "TV Shows"
2. Chọn Sort "A-Z", ghi nhận thứ tự Title 5 card đầu
3. Chọn Sort "Z-A", ghi nhận lại thứ tự</t>
  </si>
  <si>
    <t>Danh mục: TV Shows; Sort: A-Z, Z-A</t>
  </si>
  <si>
    <t>Danh sách sắp xếp đúng thứ tự bảng chữ cái tăng dần khi chọn A-Z, và giảm dần khi chọn Z-A.</t>
  </si>
  <si>
    <t>TC_CAT_08</t>
  </si>
  <si>
    <t>Sắp xếp Newest hiển thị nội dung mới nhất lên đầu</t>
  </si>
  <si>
    <t>Kiểm tra tùy chọn sắp xếp Newest hiển thị đúng nội dung có ngày đăng/ngày phát hành mới nhất lên đầu danh sách.</t>
  </si>
  <si>
    <t>1. Truy cập Category Hub "K-Pop"
2. Chọn Sort "Newest"
3. Đối chiếu ngày đăng của 3 card đầu tiên</t>
  </si>
  <si>
    <t>Danh mục: K-Pop; Sort: Newest</t>
  </si>
  <si>
    <t>3 card đầu tiên có ngày đăng/phát hành mới nhất, thứ tự giảm dần theo thời gian đến cuối danh sách.</t>
  </si>
  <si>
    <t>TC_CAT_09</t>
  </si>
  <si>
    <t>Sắp xếp Popularity/Featured hoạt động đúng</t>
  </si>
  <si>
    <t>Kiểm tra tùy chọn sắp xếp theo mức độ phổ biến/nổi bật hiển thị đúng thứ tự theo cờ featured/popularity trong dữ liệu.</t>
  </si>
  <si>
    <t>1. Truy cập Category Hub "Manga"
2. Chọn Sort "Popularity/Featured"
3. Đối chiếu thứ tự hiển thị với trường popularity/featured trong contents.json</t>
  </si>
  <si>
    <t>Danh mục: Manga; Sort: Popularity/Featured</t>
  </si>
  <si>
    <t>Danh sách sắp xếp đúng theo mức độ phổ biến/nổi bật giảm dần, khớp với dữ liệu nguồn.</t>
  </si>
  <si>
    <t>TC_CAT_10</t>
  </si>
  <si>
    <t>Kết hợp đồng thời Filter và Sort</t>
  </si>
  <si>
    <t>Kiểm tra khi áp dụng đồng thời bộ lọc loại nội dung và tùy chọn sắp xếp, kết quả hiển thị đúng cả 2 điều kiện.</t>
  </si>
  <si>
    <t>1. Truy cập Category Hub "Gaming"
2. Chọn Filter "Video"
3. Chọn thêm Sort "Newest"
4. Quan sát danh sách kết quả</t>
  </si>
  <si>
    <t>Danh mục: Gaming; Filter: Video; Sort: Newest</t>
  </si>
  <si>
    <t>Danh sách chỉ hiển thị card loại Video, được sắp xếp đúng theo Newest (mới nhất lên đầu).</t>
  </si>
  <si>
    <t>TC_CAT_11</t>
  </si>
  <si>
    <t>Nút Clear Filters reset về danh sách đầy đủ</t>
  </si>
  <si>
    <t>Kiểm tra nút xóa bộ lọc (Clear Filters) đưa danh sách trở về trạng thái ban đầu, không còn áp dụng filter/sort nào.</t>
  </si>
  <si>
    <t>1. Truy cập Category Hub bất kỳ, áp dụng 1 filter loại nội dung và 1 tùy chọn sort
2. Nhấn nút "Xóa bộ lọc"
3. Quan sát danh sách và trạng thái các control filter/sort</t>
  </si>
  <si>
    <t>Danh mục bất kỳ (VD: Anime); Filter: Character; Sort: Newest</t>
  </si>
  <si>
    <t>Danh sách trở về đầy đủ toàn bộ nội dung của danh mục, các control filter/sort trở về trạng thái mặc định (chưa chọn).</t>
  </si>
  <si>
    <t>TC_CAT_12</t>
  </si>
  <si>
    <t>Trạng thái Empty khi bộ lọc không khớp nội dung nào</t>
  </si>
  <si>
    <t>Kiểm tra giao diện hiển thị thông báo hợp lý khi kết hợp bộ lọc dẫn tới không có kết quả nào.</t>
  </si>
  <si>
    <t>1. Truy cập Category Hub "K-Pop"
2. Chọn kết hợp Filter "Merchandise" + Sub-tag không tồn tại dữ liệu tương ứng (nếu có)
3. Quan sát khu vực danh sách kết quả</t>
  </si>
  <si>
    <t>Danh mục: K-Pop; Filter kết hợp không có dữ liệu khớp</t>
  </si>
  <si>
    <t>Hiển thị thông báo/illustration "Không tìm thấy nội dung phù hợp" rõ ràng, không hiển thị khung trắng hoặc lỗi giao diện.</t>
  </si>
  <si>
    <t>TC_CAT_13</t>
  </si>
  <si>
    <t>Click card nội dung điều hướng đúng tới trang chi tiết</t>
  </si>
  <si>
    <t>Kiểm tra khi click vào 1 card bất kỳ trong Category Hub, hệ thống điều hướng đúng tới trang chi tiết tương ứng loại nội dung của card đó.</t>
  </si>
  <si>
    <t>1. Truy cập Category Hub "Comics"
2. Chọn 1 card loại "Article" và click vào
3. Quan sát trang được điều hướng tới
4. Quay lại, lặp lại với 1 card loại "Character"</t>
  </si>
  <si>
    <t>Danh mục: Comics; loại card: Article, Character</t>
  </si>
  <si>
    <t>Mỗi loại card điều hướng đúng tới đúng dạng trang chi tiết tương ứng (trang bài viết cho Article, trang hồ sơ cho Character), nội dung khớp với card đã chọn.</t>
  </si>
  <si>
    <t>TC_CAT_14</t>
  </si>
  <si>
    <t>Tải thêm/phân trang khi danh mục có nhiều nội dung</t>
  </si>
  <si>
    <t>Kiểm tra cơ chế Load more/Infinite scroll hoạt động đúng khi Category Hub có số lượng nội dung lớn hơn 1 trang hiển thị.</t>
  </si>
  <si>
    <t>1. Truy cập Category Hub có nhiều nội dung nhất (VD: Anime)
2. Cuộn xuống cuối danh sách hiện tại hoặc nhấn nút "Xem thêm" (nếu có)
3. Quan sát nội dung mới được tải thêm</t>
  </si>
  <si>
    <t>Danh mục: Anime (giả định có nhiều bản ghi trong contents.json)</t>
  </si>
  <si>
    <t>Nội dung mới được tải thêm đúng, không trùng lặp với nội dung đã hiển thị trước đó, có trạng thái loading trong lúc tải thêm.</t>
  </si>
  <si>
    <t>Chỉ áp dụng nếu danh mục có đủ lượng dữ liệu vượt 1 trang.</t>
  </si>
  <si>
    <t>TC_CAT_15</t>
  </si>
  <si>
    <t>Card hiển thị hợp lý khi thiếu trường dữ liệu tùy chọn trong JSON</t>
  </si>
  <si>
    <t>Kiểm tra giao diện xử lý hợp lý khi 1 bản ghi trong contents.json thiếu trường tùy chọn (VD: thiếu thumbnail).</t>
  </si>
  <si>
    <t>1. Chuẩn bị 1 bản ghi test thiếu trường "thumbnail" trong contents.json (môi trường Staging)
2. Truy cập Category Hub chứa bản ghi đó
3. Quan sát card tương ứng</t>
  </si>
  <si>
    <t>Bản ghi thiếu trường thumbnail</t>
  </si>
  <si>
    <t>Card hiển thị ảnh placeholder mặc định thay cho thumbnail bị thiếu, không vỡ layout, không hiển thị ô trống/lỗi ảnh (broken icon).</t>
  </si>
  <si>
    <t>TC_CAT_16</t>
  </si>
  <si>
    <t>Breadcrumb hiển thị đúng khi ở trong Category Hub</t>
  </si>
  <si>
    <t>Kiểm tra breadcrumb hiển thị đúng đường dẫn khi người dùng đang ở 1 Category Hub bất kỳ.</t>
  </si>
  <si>
    <t>1. Truy cập Category Hub "Movies"
2. Quan sát breadcrumb ở đầu trang</t>
  </si>
  <si>
    <t>Danh mục: Movies</t>
  </si>
  <si>
    <t>Breadcrumb hiển thị đúng dạng "Trang chủ &gt; Movies", mỗi mắt xích là link hoạt động được.</t>
  </si>
  <si>
    <t>TC_CAT_17</t>
  </si>
  <si>
    <t>Category Hub responsive đúng trên tablet và mobile</t>
  </si>
  <si>
    <t>Kiểm tra lưới card trong Category Hub co giãn hợp lý theo kích thước màn hình tablet và mobile.</t>
  </si>
  <si>
    <t>Mobile: Android 14 (Samsung/Pixel) &amp; iOS 17 - Safari/Chrome Mobile
URL: https://fandomverse.example.com/#anime</t>
  </si>
  <si>
    <t>1. Thu nhỏ viewport về kích thước tablet (768px), truy cập Category Hub "Anime"
2. Quan sát số cột lưới card
3. Thu nhỏ tiếp về kích thước mobile (375px), quan sát lại</t>
  </si>
  <si>
    <t>Danh mục: Anime; viewport: 768px và 375px</t>
  </si>
  <si>
    <t>Lưới card tự động giảm số cột hợp lý theo từng kích thước màn hình, không tràn ngang, card không bị méo/chồng lấp.</t>
  </si>
  <si>
    <t>TC_CAT_18</t>
  </si>
  <si>
    <t>Hiệu năng tải Category Hub với bộ dữ liệu JSON lớn</t>
  </si>
  <si>
    <t>Kiểm tra giao diện không bị treo/giật khi Category Hub tải một lượng lớn bản ghi từ JSON.</t>
  </si>
  <si>
    <t>1. Chuẩn bị file contents.json test với số lượng bản ghi lớn (VD: 500 bản ghi) cho 1 danh mục (môi trường Staging)
2. Truy cập Category Hub tương ứng
3. Quan sát thời gian tải và độ mượt khi cuộn trang</t>
  </si>
  <si>
    <t>contents.json với ~500 bản ghi cho 1 danh mục test</t>
  </si>
  <si>
    <t>Trang tải trong thời gian hợp lý, có trạng thái loading rõ ràng; cuộn trang mượt, không bị đơ/treo giao diện.</t>
  </si>
  <si>
    <t>Kiểm thử hiệu năng với dữ liệu lớn.</t>
  </si>
  <si>
    <t>TC_CAT_19</t>
  </si>
  <si>
    <t>Trạng thái Filter/Sort được giữ khi quay lại từ trang chi tiết</t>
  </si>
  <si>
    <t>Kiểm tra khi người dùng áp dụng filter/sort, mở 1 card chi tiết rồi bấm Back, trạng thái filter/sort trên Category Hub được giữ nguyên.</t>
  </si>
  <si>
    <t>1. Truy cập Category Hub "Gaming", áp dụng Filter "Video" + Sort "Newest"
2. Click vào 1 card bất kỳ để mở trang chi tiết
3. Nhấn nút Back của trình duyệt</t>
  </si>
  <si>
    <t>Sau khi Back, Category Hub hiển thị lại đúng trạng thái Filter "Video" và Sort "Newest" đã áp dụng trước đó, không bị reset về mặc định.</t>
  </si>
  <si>
    <t>TC_CAT_20</t>
  </si>
  <si>
    <t>Khả năng tiếp cận bàn phím cho bộ lọc Category Hub</t>
  </si>
  <si>
    <t>Kiểm tra người dùng có thể điều hướng và chọn các control filter/sort hoàn toàn bằng bàn phím.</t>
  </si>
  <si>
    <t>1. Truy cập Category Hub "Manga"
2. Dùng phím Tab di chuyển tới control Filter, dùng Space/Enter để chọn 1 loại nội dung
3. Tiếp tục Tab tới control Sort, chọn 1 tùy chọn bằng bàn phím</t>
  </si>
  <si>
    <t>Danh mục: Manga</t>
  </si>
  <si>
    <t>Toàn bộ control filter/sort có thể thao tác đầy đủ bằng bàn phím, có viền focus rõ ràng, kết quả lọc/sắp xếp áp dụng đúng như khi dùng chuột.</t>
  </si>
  <si>
    <t>C. TÌM KIẾM TOÀN CỤC (GLOBAL SEARCH)  (15 test case)</t>
  </si>
  <si>
    <t>TC_SEARCH_01</t>
  </si>
  <si>
    <t>Thanh tìm kiếm truy cập được từ mọi trang</t>
  </si>
  <si>
    <t>Kiểm tra thanh tìm kiếm hiển thị cố định trên Header và truy cập được ở mọi trang trong hệ thống.</t>
  </si>
  <si>
    <t>Web: Chrome 125+, Firefox 126+, Safari 17+ / Windows 11 &amp; macOS
URL: https://fandomverse.example.com/#search</t>
  </si>
  <si>
    <t>1. Truy cập lần lượt: Trang chủ, 1 Category Hub, trang chi tiết bài viết, trang Merchandise
2. Ở mỗi trang, quan sát vị trí thanh tìm kiếm trên Header</t>
  </si>
  <si>
    <t>Thanh tìm kiếm luôn hiển thị ở cùng vị trí trên Header ở toàn bộ 4 trang đã kiểm tra.</t>
  </si>
  <si>
    <t>TC_SEARCH_02</t>
  </si>
  <si>
    <t>Tìm kiếm với từ khóa hợp lệ trả về đúng kết quả (Happy path)</t>
  </si>
  <si>
    <t>Kiểm tra nhập từ khóa hợp lệ và tìm kiếm trả về danh sách kết quả liên quan chính xác.</t>
  </si>
  <si>
    <t>1. Click vào thanh tìm kiếm
2. Nhập từ khóa "Naruto"
3. Nhấn Enter hoặc nút Search
4. Quan sát trang kết quả tìm kiếm</t>
  </si>
  <si>
    <t>Từ khóa: Naruto</t>
  </si>
  <si>
    <t>Trang kết quả hiển thị đúng các nội dung có liên quan tới từ khóa "Naruto" (bài viết, nhân vật, gallery... nếu có), không lẫn nội dung không liên quan.</t>
  </si>
  <si>
    <t>Happy path - chạy đầu tiên nhóm Tìm kiếm.</t>
  </si>
  <si>
    <t>TC_SEARCH_03</t>
  </si>
  <si>
    <t>Tìm kiếm không phân biệt hoa/thường</t>
  </si>
  <si>
    <t>Kiểm tra kết quả tìm kiếm giống nhau dù nhập từ khóa dạng chữ hoa, chữ thường hay hỗn hợp.</t>
  </si>
  <si>
    <t>1. Tìm kiếm với từ khóa "anime" (thường), ghi nhận kết quả
2. Tìm lại với "ANIME" (hoa)
3. Tìm lại với "AnIme" (hỗn hợp)</t>
  </si>
  <si>
    <t>Từ khóa: anime / ANIME / AnIme</t>
  </si>
  <si>
    <t>Cả 3 lần tìm kiếm trả về cùng 1 tập kết quả giống hệt nhau, không phân biệt hoa/thường.</t>
  </si>
  <si>
    <t>TC_SEARCH_04</t>
  </si>
  <si>
    <t>Tìm kiếm với từ khóa tiếng Việt có dấu</t>
  </si>
  <si>
    <t>Kiểm tra tìm kiếm với từ khóa tiếng Việt có dấu trả về đúng kết quả liên quan.</t>
  </si>
  <si>
    <t>1. Nhập từ khóa có dấu tiếng Việt vào ô tìm kiếm
2. Nhấn Enter
3. Quan sát kết quả trả về</t>
  </si>
  <si>
    <t>Từ khóa: "nhân vật hoạt hình"</t>
  </si>
  <si>
    <t>Kết quả trả về đúng các nội dung liên quan tới từ khóa tiếng Việt có dấu, không bị lỗi encoding/ký tự lạ.</t>
  </si>
  <si>
    <t>TC_SEARCH_05</t>
  </si>
  <si>
    <t>Lọc kết quả tìm kiếm theo Category</t>
  </si>
  <si>
    <t>Kiểm tra bộ lọc Category trên trang kết quả tìm kiếm lọc đúng danh sách theo danh mục đã chọn.</t>
  </si>
  <si>
    <t>1. Tìm kiếm với từ khóa chung (VD: "hero")
2. Trên trang kết quả, chọn Filter Category = "Comics"
3. Quan sát danh sách kết quả sau khi lọc</t>
  </si>
  <si>
    <t>Từ khóa: hero; Category filter: Comics</t>
  </si>
  <si>
    <t>Danh sách kết quả chỉ còn nội dung thuộc danh mục Comics khớp từ khóa, các danh mục khác không còn hiển thị.</t>
  </si>
  <si>
    <t>TC_SEARCH_06</t>
  </si>
  <si>
    <t>Lọc kết quả tìm kiếm theo loại nội dung</t>
  </si>
  <si>
    <t>Kiểm tra bộ lọc Content Type trên trang kết quả tìm kiếm lọc đúng theo loại nội dung đã chọn.</t>
  </si>
  <si>
    <t>1. Tìm kiếm với từ khóa chung (VD: "world")
2. Chọn Filter Content Type = "Video"
3. Quan sát danh sách kết quả</t>
  </si>
  <si>
    <t>Từ khóa: world; Content Type filter: Video</t>
  </si>
  <si>
    <t>Danh sách kết quả chỉ còn nội dung loại Video khớp từ khóa.</t>
  </si>
  <si>
    <t>TC_SEARCH_07</t>
  </si>
  <si>
    <t>Kết hợp Filter Category và Content Type trên trang kết quả tìm kiếm</t>
  </si>
  <si>
    <t>Kiểm tra khi áp dụng đồng thời cả 2 bộ lọc, kết quả hiển thị đúng theo cả 2 điều kiện.</t>
  </si>
  <si>
    <t>1. Tìm kiếm với từ khóa chung
2. Chọn Category = "Gaming" và Content Type = "Character"
3. Quan sát kết quả</t>
  </si>
  <si>
    <t>Từ khóa: chung; Category: Gaming; Content Type: Character</t>
  </si>
  <si>
    <t>Kết quả chỉ hiển thị nội dung vừa thuộc danh mục Gaming vừa là loại Character, khớp từ khóa tìm kiếm.</t>
  </si>
  <si>
    <t>TC_SEARCH_08</t>
  </si>
  <si>
    <t>Tìm kiếm không có kết quả khớp (Empty state)</t>
  </si>
  <si>
    <t>Kiểm tra giao diện hiển thị thông báo hợp lý kèm gợi ý khi từ khóa tìm kiếm không khớp bất kỳ nội dung nào.</t>
  </si>
  <si>
    <t>1. Nhập từ khóa vô nghĩa/không tồn tại vào ô tìm kiếm
2. Nhấn Enter
3. Quan sát trang kết quả</t>
  </si>
  <si>
    <t>Từ khóa: "xyzkhongtontai12345"</t>
  </si>
  <si>
    <t>Hiển thị thông báo "Không tìm thấy kết quả phù hợp" kèm gợi ý (VD: kiểm tra chính tả, thử từ khóa khác hoặc gợi ý danh mục phổ biến).</t>
  </si>
  <si>
    <t>TC_SEARCH_09</t>
  </si>
  <si>
    <t>Tìm kiếm khi để trống ô input</t>
  </si>
  <si>
    <t>Kiểm tra hành vi giao diện khi người dùng nhấn Enter/nút Search với ô tìm kiếm đang trống.</t>
  </si>
  <si>
    <t>1. Click vào ô tìm kiếm, không nhập gì
2. Nhấn Enter hoặc nút Search</t>
  </si>
  <si>
    <t>Từ khóa: (rỗng)</t>
  </si>
  <si>
    <t>Giao diện không thực hiện tìm kiếm hoặc hiển thị thông báo yêu cầu nhập từ khóa; không điều hướng sang trang kết quả trống vô nghĩa.</t>
  </si>
  <si>
    <t>TC_SEARCH_10</t>
  </si>
  <si>
    <t>Gợi ý tìm kiếm tức thời khi đang gõ (Autosuggest)</t>
  </si>
  <si>
    <t>Kiểm tra danh sách gợi ý xuất hiện tức thời khi người dùng đang gõ từ khóa (nếu tính năng có triển khai).</t>
  </si>
  <si>
    <t>1. Click vào ô tìm kiếm
2. Gõ từng ký tự của từ khóa "gam"
3. Quan sát danh sách gợi ý xuất hiện bên dưới ô input</t>
  </si>
  <si>
    <t>Từ khóa đang gõ: gam</t>
  </si>
  <si>
    <t>Danh sách gợi ý liên quan xuất hiện gần như tức thời khi gõ, cập nhật theo từng ký tự; click vào 1 gợi ý điều hướng đúng tới kết quả tương ứng.</t>
  </si>
  <si>
    <t>Chỉ áp dụng nếu hệ thống có triển khai autosuggest.</t>
  </si>
  <si>
    <t>TC_SEARCH_11</t>
  </si>
  <si>
    <t>Hiển thị an toàn khi nhập mã script vào ô tìm kiếm</t>
  </si>
  <si>
    <t>Kiểm tra giao diện hiển thị lại từ khóa dưới dạng văn bản thuần, không thực thi mã khi người dùng nhập đoạn script vào ô tìm kiếm.</t>
  </si>
  <si>
    <t>1. Nhập đoạn mã script vào ô tìm kiếm
2. Nhấn Enter
3. Quan sát trang kết quả và từ khóa hiển thị lại (nếu có echo từ khóa)</t>
  </si>
  <si>
    <t>Từ khóa: &lt;script&gt;alert('xss')&lt;/script&gt;</t>
  </si>
  <si>
    <t>Từ khóa được hiển thị dưới dạng văn bản thuần (nếu có echo lại), không xuất hiện popup/alert bất thường, không có hành vi thực thi mã.</t>
  </si>
  <si>
    <t>Kiểm thử giao diện hiển thị an toàn dữ liệu đầu vào (client-side rendering).</t>
  </si>
  <si>
    <t>TC_SEARCH_12</t>
  </si>
  <si>
    <t>Giới hạn độ dài từ khóa tìm kiếm</t>
  </si>
  <si>
    <t>Kiểm tra giao diện xử lý hợp lý khi nhập từ khóa tìm kiếm rất dài.</t>
  </si>
  <si>
    <t>1. Nhập chuỗi ký tự dài khoảng 500 ký tự vào ô tìm kiếm
2. Nhấn Enter</t>
  </si>
  <si>
    <t>Từ khóa: chuỗi 500 ký tự lặp lại</t>
  </si>
  <si>
    <t>Giao diện xử lý hợp lý (chặn nhập quá giới hạn maxlength, hoặc tìm kiếm và trả về Empty state), không bị treo/crash trình duyệt.</t>
  </si>
  <si>
    <t>TC_SEARCH_13</t>
  </si>
  <si>
    <t>Tìm kiếm với ký tự đặc biệt không làm crash giao diện</t>
  </si>
  <si>
    <t>Kiểm tra giao diện xử lý ổn định khi từ khóa chứa nhiều ký tự đặc biệt liên tiếp.</t>
  </si>
  <si>
    <t>1. Nhập chuỗi ký tự đặc biệt vào ô tìm kiếm
2. Nhấn Enter</t>
  </si>
  <si>
    <t>Từ khóa: !@#$%^&amp;*()_+={}[]</t>
  </si>
  <si>
    <t>Giao diện không bị crash/treo, trả về Empty state hoặc thông báo hợp lý, không phát sinh lỗi console nghiêm trọng.</t>
  </si>
  <si>
    <t>TC_SEARCH_14</t>
  </si>
  <si>
    <t>Click kết quả tìm kiếm điều hướng đúng tới trang chi tiết</t>
  </si>
  <si>
    <t>Kiểm tra khi click vào 1 kết quả tìm kiếm, hệ thống điều hướng đúng tới trang chi tiết tương ứng.</t>
  </si>
  <si>
    <t>1. Tìm kiếm với từ khóa hợp lệ có kết quả
2. Click vào 1 kết quả bất kỳ trong danh sách
3. Quan sát trang được điều hướng tới</t>
  </si>
  <si>
    <t>Từ khóa: bất kỳ có kết quả (VD: Naruto)</t>
  </si>
  <si>
    <t>Điều hướng đúng tới trang chi tiết của kết quả đã chọn, nội dung khớp với kết quả hiển thị trên trang tìm kiếm.</t>
  </si>
  <si>
    <t>TC_SEARCH_15</t>
  </si>
  <si>
    <t>Tìm kiếm hoạt động đúng và responsive trên thiết bị di động</t>
  </si>
  <si>
    <t>Kiểm tra chức năng tìm kiếm và trang kết quả hiển thị đúng trên thiết bị di động.</t>
  </si>
  <si>
    <t>Mobile: Android 14 (Samsung/Pixel) &amp; iOS 17 - Safari/Chrome Mobile
URL: https://fandomverse.example.com/#search</t>
  </si>
  <si>
    <t>1. Mở trình duyệt mobile, truy cập trang chủ
2. Mở thanh tìm kiếm (qua icon nếu thu gọn trên mobile)
3. Nhập từ khóa và tìm kiếm
4. Quan sát trang kết quả trên màn hình nhỏ</t>
  </si>
  <si>
    <t>Từ khóa: manga</t>
  </si>
  <si>
    <t>Ô tìm kiếm dễ thao tác trên mobile, trang kết quả hiển thị dạng danh sách/lưới phù hợp màn hình nhỏ, không tràn ngang.</t>
  </si>
  <si>
    <t>D. THƯ VIỆN ẢNH (IMAGE GALLERY / LIGHTBOX)  (10 test case)</t>
  </si>
  <si>
    <t>TC_GAL_01</t>
  </si>
  <si>
    <t>Thư viện ảnh hiển thị đúng dạng lưới thumbnail</t>
  </si>
  <si>
    <t>Kiểm tra khu vực thư viện ảnh trong Category Hub hiển thị đúng dạng lưới (grid) các ảnh thumbnail.</t>
  </si>
  <si>
    <t>Web: Chrome 125+, Firefox 126+, Safari 17+ / Windows 11 &amp; macOS
URL: https://fandomverse.example.com/#anime/gallery</t>
  </si>
  <si>
    <t>1. Truy cập 1 Category Hub có nội dung Gallery (VD: Anime)
2. Mở khu vực/tab Gallery
3. Quan sát bố cục lưới ảnh</t>
  </si>
  <si>
    <t>Danh mục: Anime, loại nội dung: Gallery</t>
  </si>
  <si>
    <t>Ảnh hiển thị dạng lưới đều, kích thước thumbnail đồng nhất, không bị méo tỷ lệ.</t>
  </si>
  <si>
    <t>TC_GAL_02</t>
  </si>
  <si>
    <t>Click ảnh thumbnail mở đúng Lightbox phóng to</t>
  </si>
  <si>
    <t>Kiểm tra click vào 1 ảnh thumbnail mở đúng chế độ xem Lightbox với ảnh phóng to.</t>
  </si>
  <si>
    <t>1. Mở khu vực Gallery của 1 Category Hub
2. Click vào 1 ảnh thumbnail bất kỳ
3. Quan sát Lightbox mở ra</t>
  </si>
  <si>
    <t>1 ảnh thumbnail bất kỳ trong Gallery</t>
  </si>
  <si>
    <t>Lightbox mở ra hiển thị đúng ảnh đã click ở kích thước lớn hơn, nền phía sau được làm mờ/tối (overlay).</t>
  </si>
  <si>
    <t>TC_GAL_03</t>
  </si>
  <si>
    <t>Điều hướng ảnh kế tiếp/trước đó trong Lightbox bằng nút mũi tên</t>
  </si>
  <si>
    <t>Kiểm tra nút điều hướng Next/Prev trong Lightbox chuyển đúng sang ảnh kế tiếp/trước đó.</t>
  </si>
  <si>
    <t>1. Mở Lightbox từ 1 ảnh bất kỳ
2. Click nút Next 2 lần, ghi nhận ảnh hiển thị
3. Click nút Prev 1 lần, ghi nhận ảnh hiển thị</t>
  </si>
  <si>
    <t>Ảnh chuyển đúng thứ tự trong bộ sưu tập theo từng lần click Next/Prev, không lặp/nhảy ảnh sai vị trí.</t>
  </si>
  <si>
    <t>TC_GAL_04</t>
  </si>
  <si>
    <t>Điều hướng ảnh trong Lightbox bằng phím mũi tên bàn phím</t>
  </si>
  <si>
    <t>Kiểm tra khả năng dùng phím mũi tên trái/phải trên bàn phím để chuyển ảnh trong Lightbox.</t>
  </si>
  <si>
    <t>1. Mở Lightbox từ 1 ảnh bất kỳ
2. Nhấn phím mũi tên phải 2 lần
3. Nhấn phím mũi tên trái 1 lần</t>
  </si>
  <si>
    <t>Ảnh chuyển đúng theo phím mũi tên, hành vi giống hệt khi dùng nút Next/Prev bằng chuột.</t>
  </si>
  <si>
    <t>TC_GAL_05</t>
  </si>
  <si>
    <t>Đóng Lightbox bằng nút Close và phím Esc</t>
  </si>
  <si>
    <t>Kiểm tra Lightbox đóng đúng khi nhấn nút Close (X) hoặc phím Esc.</t>
  </si>
  <si>
    <t>1. Mở Lightbox từ 1 ảnh bất kỳ
2. Click nút Close (X)
3. Mở lại Lightbox, sau đó nhấn phím Esc</t>
  </si>
  <si>
    <t>Cả 2 cách đều đóng Lightbox thành công, quay lại đúng vị trí thư viện ảnh đang xem, không còn overlay tối màn hình.</t>
  </si>
  <si>
    <t>TC_GAL_06</t>
  </si>
  <si>
    <t>Carousel tự động chuyển ảnh và tạm dừng khi hover</t>
  </si>
  <si>
    <t>Kiểm tra chế độ carousel ảnh tự động chuyển theo thời gian và tạm dừng khi người dùng di chuột vào (nếu tính năng có triển khai).</t>
  </si>
  <si>
    <t>1. Mở khu vực Gallery dạng carousel (nếu có)
2. Quan sát ảnh tự động chuyển theo thời gian
3. Di chuột vào carousel và giữ nguyên, quan sát carousel có dừng lại không</t>
  </si>
  <si>
    <t>Carousel tự động chuyển ảnh theo chu kỳ khi không tương tác; tạm dừng chuyển khi con trỏ đang hover trên carousel.</t>
  </si>
  <si>
    <t>Chỉ áp dụng nếu Gallery có chế độ carousel tự động.</t>
  </si>
  <si>
    <t>TC_GAL_07</t>
  </si>
  <si>
    <t>Zoom ảnh trong Lightbox</t>
  </si>
  <si>
    <t>Kiểm tra khả năng phóng to (zoom) ảnh trong Lightbox bằng thao tác chuột (desktop) hoặc chụm ngón tay (mobile).</t>
  </si>
  <si>
    <t>1. Mở Lightbox 1 ảnh trên desktop, dùng scroll chuột để zoom (nếu hỗ trợ)
2. Trên mobile, mở Lightbox và thực hiện thao tác chụm/mở 2 ngón tay (pinch-to-zoom)</t>
  </si>
  <si>
    <t>Ảnh phóng to/thu nhỏ mượt theo thao tác, không bị vỡ nét quá mức chấp nhận, có thể thu nhỏ lại về kích thước gốc.</t>
  </si>
  <si>
    <t>TC_GAL_08</t>
  </si>
  <si>
    <t>Lightbox hiển thị đúng chú thích/caption của ảnh</t>
  </si>
  <si>
    <t>Kiểm tra chú thích (caption) của từng ảnh hiển thị đúng trong Lightbox nếu dữ liệu JSON có trường caption.</t>
  </si>
  <si>
    <t>1. Mở Lightbox 1 ảnh có trường caption trong dữ liệu
2. Quan sát vùng hiển thị caption bên dưới/cạnh ảnh</t>
  </si>
  <si>
    <t>Ảnh có trường caption trong contents.json</t>
  </si>
  <si>
    <t>Caption hiển thị đúng nội dung văn bản đã khai báo trong dữ liệu, không bị cắt chữ bất thường.</t>
  </si>
  <si>
    <t>TC_GAL_09</t>
  </si>
  <si>
    <t>Xử lý khi ảnh trong JSON bị lỗi đường dẫn (broken image)</t>
  </si>
  <si>
    <t>Kiểm tra giao diện hiển thị ảnh placeholder hợp lý khi đường dẫn ảnh trong dữ liệu JSON không hợp lệ/không tồn tại.</t>
  </si>
  <si>
    <t>1. Chuẩn bị 1 bản ghi Gallery test với đường dẫn ảnh sai (môi trường Staging)
2. Truy cập Gallery chứa bản ghi đó
3. Quan sát thumbnail và khi mở Lightbox</t>
  </si>
  <si>
    <t>1 bản ghi ảnh với đường dẫn không hợp lệ</t>
  </si>
  <si>
    <t>Hiển thị ảnh placeholder mặc định thay cho ảnh lỗi ở cả dạng thumbnail và trong Lightbox, không hiển thị icon ảnh vỡ (broken image icon) của trình duyệt, không vỡ layout.</t>
  </si>
  <si>
    <t>TC_GAL_10</t>
  </si>
  <si>
    <t>Thư viện ảnh và Lightbox hoạt động mượt trên thiết bị di động</t>
  </si>
  <si>
    <t>Kiểm tra thao tác vuốt (swipe) để chuyển ảnh trong Lightbox trên thiết bị di động hoạt động đúng.</t>
  </si>
  <si>
    <t>Mobile: Android 14 (Samsung/Pixel) &amp; iOS 17 - Safari/Chrome Mobile
URL: https://fandomverse.example.com/#anime/gallery</t>
  </si>
  <si>
    <t>1. Mở trình duyệt mobile, truy cập Gallery của 1 Category Hub
2. Chạm vào 1 ảnh để mở Lightbox
3. Vuốt sang trái/phải để chuyển ảnh</t>
  </si>
  <si>
    <t>Lightbox mở đúng kích thước màn hình mobile; thao tác vuốt chuyển ảnh mượt, đúng hướng (vuốt trái sang ảnh sau, vuốt phải về ảnh trước).</t>
  </si>
  <si>
    <t>E. VIDEO &amp; AUDIO  (12 test case)</t>
  </si>
  <si>
    <t>TC_MEDIA_01</t>
  </si>
  <si>
    <t>Video trailer nhúng phát đúng khi nhấn Play</t>
  </si>
  <si>
    <t>Kiểm tra video trailer nhúng từ YouTube phát đúng nội dung khi người dùng nhấn nút Play.</t>
  </si>
  <si>
    <t>Web: Chrome 125+, Firefox 126+, Safari 17+ / Windows 11 &amp; macOS
URL: https://fandomverse.example.com/#movies/media</t>
  </si>
  <si>
    <t>1. Truy cập trang có video trailer nhúng
2. Nhấn nút Play trên khung video
3. Quan sát video bắt đầu phát</t>
  </si>
  <si>
    <t>1 video trailer nhúng bất kỳ</t>
  </si>
  <si>
    <t>Video bắt đầu phát đúng nội dung trong vòng vài giây, có âm thanh (nếu không tắt tiếng mặc định do người dùng chủ động bật).</t>
  </si>
  <si>
    <t>TC_MEDIA_02</t>
  </si>
  <si>
    <t>Điều khiển video cơ bản hoạt động đúng</t>
  </si>
  <si>
    <t>Kiểm tra các nút điều khiển cơ bản của video player: Play/Pause, Volume, Fullscreen, Progress bar.</t>
  </si>
  <si>
    <t>1. Phát 1 video bất kỳ
2. Nhấn Pause rồi Play lại
3. Điều chỉnh thanh âm lượng
4. Nhấn nút Fullscreen
5. Kéo thanh tiến trình (progress bar) tới 1 mốc thời gian khác</t>
  </si>
  <si>
    <t>1 video trailer bất kỳ</t>
  </si>
  <si>
    <t>Tất cả các điều khiển hoạt động đúng chức năng: Pause dừng video, Play tiếp tục, âm lượng thay đổi tương ứng, Fullscreen phóng to toàn màn hình, tua đúng tới mốc thời gian đã kéo.</t>
  </si>
  <si>
    <t>TC_MEDIA_03</t>
  </si>
  <si>
    <t>Chỉ 1 video phát cùng lúc khi có nhiều video trên trang</t>
  </si>
  <si>
    <t>Kiểm tra khi phát video A trong khi video B đang phát, video B phải tự động dừng lại.</t>
  </si>
  <si>
    <t>1. Truy cập trang có từ 2 video nhúng trở lên
2. Nhấn Play video thứ nhất (A), để phát vài giây
3. Nhấn Play video thứ hai (B)
4. Quan sát trạng thái video A</t>
  </si>
  <si>
    <t>Trang có 2 video nhúng trở lên</t>
  </si>
  <si>
    <t>Ngay khi video B bắt đầu phát, video A tự động tạm dừng (pause), chỉ có 1 video phát âm thanh tại 1 thời điểm.</t>
  </si>
  <si>
    <t>TC_MEDIA_04</t>
  </si>
  <si>
    <t>Audio clip phát đúng với thanh điều khiển audio player</t>
  </si>
  <si>
    <t>Kiểm tra audio clip (phỏng vấn/podcast) phát đúng và điều khiển được qua audio player.</t>
  </si>
  <si>
    <t>1. Truy cập trang/khu vực có audio clip
2. Nhấn Play trên audio player
3. Kiểm tra Pause, tua tiến/lùi bằng progress bar</t>
  </si>
  <si>
    <t>1 audio clip bất kỳ</t>
  </si>
  <si>
    <t>Audio phát đúng nội dung, các điều khiển Play/Pause/tua hoạt động chính xác, hiển thị đúng thời lượng đã phát/tổng thời lượng.</t>
  </si>
  <si>
    <t>TC_MEDIA_05</t>
  </si>
  <si>
    <t>Xử lý khi link video/audio trong JSON bị hỏng</t>
  </si>
  <si>
    <t>Kiểm tra giao diện thông báo lỗi rõ ràng, không crash khi đường link media trong dữ liệu JSON không hợp lệ.</t>
  </si>
  <si>
    <t>1. Chuẩn bị 1 bản ghi test với link video/audio không hợp lệ (môi trường Staging)
2. Truy cập trang chứa bản ghi đó
3. Nhấn Play (nếu khung player vẫn hiển thị)</t>
  </si>
  <si>
    <t>1 bản ghi media với link không hợp lệ</t>
  </si>
  <si>
    <t>Hiển thị thông báo lỗi hợp lý (VD: "Không thể phát nội dung này") thay vì khung player trống hoặc lỗi console nghiêm trọng, layout không bị vỡ.</t>
  </si>
  <si>
    <t>TC_MEDIA_06</t>
  </si>
  <si>
    <t>Video/audio tự dừng khi điều hướng rời khỏi trang</t>
  </si>
  <si>
    <t>Kiểm tra video/audio đang phát tự động dừng khi người dùng điều hướng sang trang khác, tránh phát ngầm.</t>
  </si>
  <si>
    <t>1. Phát 1 video trên trang chi tiết
2. Trong lúc đang phát, click điều hướng sang 1 trang khác (VD: về trang chủ)
3. Lắng nghe có còn âm thanh phát không</t>
  </si>
  <si>
    <t>1 video đang phát</t>
  </si>
  <si>
    <t>Âm thanh/video dừng lại hoàn toàn ngay khi rời khỏi trang, không có hiện tượng phát ngầm ở trang mới.</t>
  </si>
  <si>
    <t>TC_MEDIA_07</t>
  </si>
  <si>
    <t>Bật/tắt phụ đề video hoạt động đúng</t>
  </si>
  <si>
    <t>Kiểm tra tùy chọn bật/tắt phụ đề (caption) của video hoạt động đúng nếu video có hỗ trợ.</t>
  </si>
  <si>
    <t>1. Phát 1 video có hỗ trợ phụ đề
2. Bật phụ đề qua icon CC trên player
3. Tắt phụ đề lại</t>
  </si>
  <si>
    <t>1 video có phụ đề</t>
  </si>
  <si>
    <t>Phụ đề hiển thị đúng khi bật, biến mất khi tắt, đồng bộ đúng với nội dung audio.</t>
  </si>
  <si>
    <t>Chỉ áp dụng với video có hỗ trợ phụ đề.</t>
  </si>
  <si>
    <t>TC_MEDIA_08</t>
  </si>
  <si>
    <t>Chất lượng phát lại video khi mạng chậm</t>
  </si>
  <si>
    <t>Kiểm tra video hiển thị trạng thái buffering hợp lý khi mạng bị giả lập chậm, không bị treo giao diện.</t>
  </si>
  <si>
    <t>1. Bật DevTools &gt; Network &gt; Throttling "Slow 3G"
2. Phát 1 video bất kỳ
3. Quan sát trạng thái buffering</t>
  </si>
  <si>
    <t>Điều kiện mạng: Slow 3G</t>
  </si>
  <si>
    <t>Hiển thị biểu tượng buffering/loading rõ ràng trong lúc chờ tải dữ liệu video, giao diện tổng thể không bị treo/đơ.</t>
  </si>
  <si>
    <t>TC_MEDIA_09</t>
  </si>
  <si>
    <t>Khung video responsive đúng tỷ lệ khung hình</t>
  </si>
  <si>
    <t>Kiểm tra khung nhúng video giữ đúng tỷ lệ khung hình 16:9 trên các kích thước màn hình khác nhau.</t>
  </si>
  <si>
    <t>1. Truy cập trang có video ở desktop (1920px)
2. Thu nhỏ dần viewport xuống tablet (768px) rồi mobile (375px)
3. Quan sát tỷ lệ khung video ở mỗi kích thước</t>
  </si>
  <si>
    <t>Viewport: 1920px, 768px, 375px</t>
  </si>
  <si>
    <t>Khung video luôn giữ đúng tỷ lệ 16:9 ở mọi kích thước màn hình, không bị méo hoặc cắt xén nội dung.</t>
  </si>
  <si>
    <t>TC_MEDIA_10</t>
  </si>
  <si>
    <t>Video/audio hoạt động đúng trên thiết bị di động kể cả fullscreen xoay ngang</t>
  </si>
  <si>
    <t>Kiểm tra video phát đúng trên thiết bị di động và chuyển sang chế độ toàn màn hình hợp lý khi xoay ngang máy.</t>
  </si>
  <si>
    <t>Mobile: Android 14 (Samsung/Pixel) &amp; iOS 17 - Safari/Chrome Mobile
URL: https://fandomverse.example.com/#movies/media</t>
  </si>
  <si>
    <t>1. Mở trình duyệt mobile, phát 1 video
2. Nhấn Fullscreen
3. Xoay thiết bị sang chế độ ngang</t>
  </si>
  <si>
    <t>1 video bất kỳ, thiết bị mobile</t>
  </si>
  <si>
    <t>Video vào chế độ toàn màn hình đúng, tự động xoay theo hướng màn hình ngang, điều khiển video vẫn thao tác được bình thường.</t>
  </si>
  <si>
    <t>TC_MEDIA_11</t>
  </si>
  <si>
    <t>Điều khiển video có thể thao tác hoàn toàn bằng bàn phím</t>
  </si>
  <si>
    <t>Kiểm tra người dùng có thể Play/Pause và tua video chỉ bằng bàn phím (Accessibility).</t>
  </si>
  <si>
    <t>1. Focus vào khung video bằng phím Tab
2. Nhấn phím Space để Play/Pause
3. Dùng phím mũi tên trái/phải để tua lùi/tiến</t>
  </si>
  <si>
    <t>1 video bất kỳ</t>
  </si>
  <si>
    <t>Space bật/tắt phát video đúng; phím mũi tên tua video theo bước thời gian hợp lý; có viền focus rõ ràng quanh player khi đang focus.</t>
  </si>
  <si>
    <t>TC_MEDIA_12</t>
  </si>
  <si>
    <t>Video không tự động phát có âm thanh khi tải trang</t>
  </si>
  <si>
    <t>Kiểm tra video không autoplay có âm thanh ngay khi tải trang, tuân thủ chính sách trình duyệt và trải nghiệm người dùng.</t>
  </si>
  <si>
    <t>1. Truy cập trang có video nhúng
2. Không thao tác gì, quan sát và lắng nghe trong 5 giây đầu</t>
  </si>
  <si>
    <t>1 trang có video nhúng</t>
  </si>
  <si>
    <t>Video không tự động phát có âm thanh khi trang vừa tải xong; nếu có autoplay, video phải ở trạng thái muted mặc định.</t>
  </si>
  <si>
    <t>F. BÀI VIẾT NỔI BẬT (FEATURED ARTICLES)  (10 test case)</t>
  </si>
  <si>
    <t>TC_ART_01</t>
  </si>
  <si>
    <t>Danh sách bài viết hiển thị đúng title, ảnh, mô tả ngắn</t>
  </si>
  <si>
    <t>Kiểm tra danh sách bài viết trong Category Hub hiển thị đúng các trường tóm tắt: title, ảnh đại diện, mô tả ngắn.</t>
  </si>
  <si>
    <t>Web: Chrome 125+, Firefox 126+, Safari 17+ / Windows 11 &amp; macOS
URL: https://fandomverse.example.com/#tvshows/articles</t>
  </si>
  <si>
    <t>1. Truy cập Category Hub "TV Shows"
2. Lọc loại nội dung "Article"
3. Quan sát các card bài viết hiển thị</t>
  </si>
  <si>
    <t>Danh mục: TV Shows; loại: Article</t>
  </si>
  <si>
    <t>Mỗi card bài viết hiển thị đủ title, ảnh đại diện, đoạn mô tả ngắn không bị cắt chữ bất thường.</t>
  </si>
  <si>
    <t>TC_ART_02</t>
  </si>
  <si>
    <t>Click bài viết mở đúng trang chi tiết đầy đủ nội dung</t>
  </si>
  <si>
    <t>Kiểm tra click vào 1 bài viết mở đúng trang chi tiết (detail view) với đầy đủ nội dung bài viết.</t>
  </si>
  <si>
    <t>1. Từ danh sách bài viết, click vào 1 bài viết bất kỳ
2. Quan sát trang chi tiết được mở</t>
  </si>
  <si>
    <t>1 bài viết bất kỳ</t>
  </si>
  <si>
    <t>Trang chi tiết hiển thị đầy đủ tiêu đề, ảnh, nội dung đầy đủ của bài viết đã chọn, không thiếu đoạn nào so với dữ liệu nguồn.</t>
  </si>
  <si>
    <t>TC_ART_03</t>
  </si>
  <si>
    <t>Định dạng nội dung dài hiển thị đúng</t>
  </si>
  <si>
    <t>Kiểm tra bài viết có nội dung dài với heading, đoạn văn, hình ảnh chèn giữa bài hiển thị đúng định dạng.</t>
  </si>
  <si>
    <t>1. Mở 1 bài viết có nội dung dài, nhiều heading và hình ảnh chèn giữa
2. Cuộn đọc toàn bộ bài viết</t>
  </si>
  <si>
    <t>1 bài viết dài có heading và ảnh chèn giữa</t>
  </si>
  <si>
    <t>Heading hiển thị đúng cấp độ (font/size phân biệt với đoạn văn thường), hình ảnh chèn giữa hiển thị đúng vị trí, không bị vỡ layout hay tràn khung.</t>
  </si>
  <si>
    <t>TC_ART_04</t>
  </si>
  <si>
    <t>Phần Nội dung liên quan hiển thị đúng gợi ý</t>
  </si>
  <si>
    <t>Kiểm tra khu vực "Nội dung liên quan" (related content) ở cuối trang chi tiết bài viết hiển thị đúng các gợi ý liên quan tới danh mục/tag bài viết.</t>
  </si>
  <si>
    <t>1. Mở 1 bài viết bất kỳ
2. Cuộn xuống cuối trang, quan sát khu vực Nội dung liên quan</t>
  </si>
  <si>
    <t>1 bài viết bất kỳ có tag/danh mục xác định</t>
  </si>
  <si>
    <t>Danh sách gợi ý hiển thị các nội dung cùng danh mục hoặc cùng tag với bài viết đang xem, không hiển thị nội dung không liên quan.</t>
  </si>
  <si>
    <t>TC_ART_05</t>
  </si>
  <si>
    <t>Click gợi ý liên quan điều hướng đúng bài viết tương ứng</t>
  </si>
  <si>
    <t>Kiểm tra click vào 1 gợi ý trong khu vực Nội dung liên quan điều hướng đúng tới bài viết/nội dung tương ứng.</t>
  </si>
  <si>
    <t>1. Ở trang chi tiết bài viết, click vào 1 gợi ý bất kỳ trong khu vực Nội dung liên quan
2. Quan sát trang được điều hướng tới</t>
  </si>
  <si>
    <t>1 gợi ý bất kỳ trong khu vực liên quan</t>
  </si>
  <si>
    <t>Điều hướng đúng tới trang chi tiết của nội dung đã chọn trong gợi ý.</t>
  </si>
  <si>
    <t>TC_ART_06</t>
  </si>
  <si>
    <t>Breadcrumb tại trang chi tiết bài viết hiển thị đúng</t>
  </si>
  <si>
    <t>Kiểm tra breadcrumb tại trang chi tiết bài viết hiển thị đúng đường dẫn từ Trang chủ tới bài viết hiện tại.</t>
  </si>
  <si>
    <t>1. Mở 1 bài viết bất kỳ thuộc danh mục "Manga"
2. Quan sát breadcrumb ở đầu trang</t>
  </si>
  <si>
    <t>1 bài viết thuộc danh mục Manga</t>
  </si>
  <si>
    <t>Breadcrumb hiển thị dạng "Trang chủ &gt; Manga &gt; [Tên bài viết]", các mắt xích trước hoạt động điều hướng đúng.</t>
  </si>
  <si>
    <t>TC_ART_07</t>
  </si>
  <si>
    <t>Truy cập URL bài viết không tồn tại hiển thị trang lỗi hợp lý</t>
  </si>
  <si>
    <t>Kiểm tra hành vi giao diện khi người dùng truy cập trực tiếp URL bài viết với ID không tồn tại trong dữ liệu.</t>
  </si>
  <si>
    <t>1. Nhập trực tiếp URL bài viết với ID không có thật vào thanh địa chỉ
2. Quan sát trang hiển thị</t>
  </si>
  <si>
    <t>URL: /#article/id-khong-ton-tai-999</t>
  </si>
  <si>
    <t>Hiển thị trang "Không tìm thấy nội dung" (404-style) thân thiện kèm link quay về trang chủ/danh mục, không hiển thị lỗi kỹ thuật hoặc trang trắng.</t>
  </si>
  <si>
    <t>TC_ART_08</t>
  </si>
  <si>
    <t>Thời gian đọc/ngày đăng hiển thị đúng định dạng</t>
  </si>
  <si>
    <t>Kiểm tra thời gian đọc ước tính và/hoặc ngày đăng bài viết (nếu có trong dữ liệu) hiển thị đúng định dạng.</t>
  </si>
  <si>
    <t>1. Mở 1 bài viết có trường ngày đăng trong dữ liệu
2. Quan sát định dạng ngày hiển thị trên trang chi tiết</t>
  </si>
  <si>
    <t>1 bài viết có trường publishDate</t>
  </si>
  <si>
    <t>Ngày đăng hiển thị đúng định dạng nhất quán (dd/mm/yyyy) trên toàn bộ các bài viết đã kiểm tra.</t>
  </si>
  <si>
    <t>TC_ART_09</t>
  </si>
  <si>
    <t>Nội dung bài viết hiển thị an toàn với ký tự HTML/script trong dữ liệu</t>
  </si>
  <si>
    <t>Kiểm tra nội dung bài viết chứa ký tự HTML/script trong JSON được escape đúng, không bị thực thi.</t>
  </si>
  <si>
    <t>1. Chuẩn bị 1 bản ghi bài viết test có chứa đoạn mã script trong nội dung (môi trường Staging)
2. Mở trang chi tiết bài viết đó
3. Quan sát có popup/alert bất thường không</t>
  </si>
  <si>
    <t>1 bài viết test với nội dung: &lt;script&gt;alert('test')&lt;/script&gt;</t>
  </si>
  <si>
    <t>Đoạn mã hiển thị dưới dạng văn bản thuần trên trang, không có popup/alert bất thường xuất hiện.</t>
  </si>
  <si>
    <t>TC_ART_10</t>
  </si>
  <si>
    <t>Trang chi tiết bài viết responsive đúng trên mobile</t>
  </si>
  <si>
    <t>Kiểm tra trang chi tiết bài viết hiển thị đúng, hình ảnh không tràn khung khi xem trên thiết bị di động.</t>
  </si>
  <si>
    <t>Mobile: Android 14 (Samsung/Pixel) &amp; iOS 17 - Safari/Chrome Mobile
URL: https://fandomverse.example.com/#tvshows/articles</t>
  </si>
  <si>
    <t>1. Mở trình duyệt mobile, truy cập 1 bài viết bất kỳ
2. Cuộn đọc toàn bộ nội dung bài viết</t>
  </si>
  <si>
    <t>1 bài viết bất kỳ, viewport 375px</t>
  </si>
  <si>
    <t>Văn bản và hình ảnh hiển thị vừa khung màn hình, không tràn ngang, cỡ chữ dễ đọc, không cần zoom thủ công.</t>
  </si>
  <si>
    <t>G. HỒ SƠ NHÂN VẬT (CHARACTER PROFILES)  (14 test case)</t>
  </si>
  <si>
    <t>TC_CHAR_01</t>
  </si>
  <si>
    <t>Danh sách hồ sơ nhân vật hiển thị tối thiểu 5 nhân vật theo yêu cầu SRS</t>
  </si>
  <si>
    <t>Kiểm tra Category Hub hiển thị tối thiểu 5 hồ sơ nhân vật cho danh mục đang xem, đúng yêu cầu SRS mục 1.6.7.</t>
  </si>
  <si>
    <t>Web: Chrome 125+, Firefox 126+, Safari 17+ / Windows 11 &amp; macOS
URL: https://fandomverse.example.com/#anime/characters</t>
  </si>
  <si>
    <t>1. Truy cập Category Hub "Anime"
2. Chọn tab/filter "Character"
3. Đếm số lượng hồ sơ nhân vật hiển thị</t>
  </si>
  <si>
    <t>Danh sách hiển thị tối thiểu 5 hồ sơ nhân vật khác nhau, không có hồ sơ trùng lặp.</t>
  </si>
  <si>
    <t>TC_CHAR_02</t>
  </si>
  <si>
    <t>Card nhân vật hiển thị đủ các trường bắt buộc</t>
  </si>
  <si>
    <t>Kiểm tra mỗi card hồ sơ nhân vật hiển thị đủ: Tên, Ảnh, Franchise/Series, tóm tắt Tiểu sử, Đặc điểm (Traits).</t>
  </si>
  <si>
    <t>1. Truy cập danh sách nhân vật của 1 danh mục bất kỳ
2. Chọn 3 card ngẫu nhiên, kiểm tra từng trường</t>
  </si>
  <si>
    <t>3 card nhân vật ngẫu nhiên</t>
  </si>
  <si>
    <t>Mỗi card hiển thị đủ 5 trường: Tên, Ảnh, Franchise/Series, tóm tắt Tiểu sử, Traits; không thiếu trường nào.</t>
  </si>
  <si>
    <t>TC_CHAR_03</t>
  </si>
  <si>
    <t>Click nhân vật mở đúng trang/modal chi tiết đầy đủ thông tin</t>
  </si>
  <si>
    <t>Kiểm tra click vào 1 nhân vật mở đúng trang hoặc modal chi tiết với đầy đủ thông tin hồ sơ.</t>
  </si>
  <si>
    <t>1. Click vào 1 card nhân vật bất kỳ
2. Quan sát trang/modal chi tiết được mở</t>
  </si>
  <si>
    <t>1 nhân vật bất kỳ</t>
  </si>
  <si>
    <t>Trang/modal chi tiết hiển thị đầy đủ thông tin: Tên, Ảnh lớn hơn, Franchise/Series, Tiểu sử đầy đủ (không rút gọn), danh sách Traits.</t>
  </si>
  <si>
    <t>TC_CHAR_04</t>
  </si>
  <si>
    <t>Bộ lọc hồ sơ nhân vật theo Category</t>
  </si>
  <si>
    <t>Kiểm tra bộ lọc theo danh mục lọc đúng danh sách nhân vật hiển thị.</t>
  </si>
  <si>
    <t>1. Truy cập trang tổng hợp nhân vật (nếu có) hoặc từng Category Hub
2. Chọn Category = "Gaming"
3. Quan sát danh sách nhân vật</t>
  </si>
  <si>
    <t>Category filter: Gaming</t>
  </si>
  <si>
    <t>Danh sách chỉ hiển thị nhân vật thuộc danh mục Gaming.</t>
  </si>
  <si>
    <t>TC_CHAR_05</t>
  </si>
  <si>
    <t>Bộ lọc hồ sơ nhân vật theo Franchise/Series</t>
  </si>
  <si>
    <t>Kiểm tra bộ lọc theo Franchise/Series cụ thể lọc đúng danh sách nhân vật liên quan.</t>
  </si>
  <si>
    <t>1. Truy cập danh sách nhân vật của 1 danh mục
2. Chọn Filter Franchise = 1 series cụ thể
3. Quan sát kết quả</t>
  </si>
  <si>
    <t>Franchise filter: 1 series cụ thể (VD: "One Piece")</t>
  </si>
  <si>
    <t>Danh sách chỉ hiển thị đúng nhân vật thuộc franchise/series đã chọn.</t>
  </si>
  <si>
    <t>TC_CHAR_06</t>
  </si>
  <si>
    <t>Data-driven: tối thiểu 5 hồ sơ nhân vật cho mỗi 7 danh mục</t>
  </si>
  <si>
    <t>Kiểm tra lần lượt cả 7 danh mục đều có tối thiểu 5 hồ sơ nhân vật theo đúng yêu cầu SRS.</t>
  </si>
  <si>
    <t>1. Lần lượt truy cập danh sách nhân vật của cả 7 danh mục: Anime, Gaming, Movies, TV Shows, K-Pop, Comics, Manga
2. Đếm số lượng hồ sơ nhân vật ở mỗi danh mục</t>
  </si>
  <si>
    <t>Mỗi danh mục có tối thiểu 5 hồ sơ nhân vật hiển thị đầy đủ, không có danh mục nào thiếu dữ liệu.</t>
  </si>
  <si>
    <t>TC_CHAR_07</t>
  </si>
  <si>
    <t>Xử lý khi nhân vật thiếu trường Traits hoặc Biography</t>
  </si>
  <si>
    <t>Kiểm tra giao diện hiển thị hợp lý khi 1 bản ghi nhân vật thiếu trường Traits hoặc Biography trong JSON.</t>
  </si>
  <si>
    <t>1. Chuẩn bị 1 bản ghi nhân vật test thiếu trường Traits (môi trường Staging)
2. Truy cập trang chi tiết nhân vật đó</t>
  </si>
  <si>
    <t>1 bản ghi nhân vật thiếu trường Traits</t>
  </si>
  <si>
    <t>Giao diện ẩn khu vực Traits hoặc hiển thị trạng thái "Chưa có thông tin" hợp lý, không để trống trơ/lỗi hiển thị.</t>
  </si>
  <si>
    <t>TC_CHAR_08</t>
  </si>
  <si>
    <t>Ảnh nhân vật lỗi đường dẫn hiển thị ảnh placeholder</t>
  </si>
  <si>
    <t>Kiểm tra giao diện hiển thị ảnh placeholder mặc định khi đường dẫn ảnh nhân vật trong JSON không hợp lệ.</t>
  </si>
  <si>
    <t>1. Chuẩn bị 1 bản ghi nhân vật test với đường dẫn ảnh sai
2. Truy cập card và trang chi tiết nhân vật đó</t>
  </si>
  <si>
    <t>1 bản ghi nhân vật với ảnh lỗi đường dẫn</t>
  </si>
  <si>
    <t>Hiển thị ảnh placeholder mặc định ở cả card danh sách và trang chi tiết, không hiển thị icon ảnh vỡ.</t>
  </si>
  <si>
    <t>TC_CHAR_09</t>
  </si>
  <si>
    <t>Chức năng Bookmark trực tiếp từ card/trang chi tiết nhân vật</t>
  </si>
  <si>
    <t>Kiểm tra người dùng có thể bookmark 1 nhân vật ngay từ card danh sách hoặc trang chi tiết.</t>
  </si>
  <si>
    <t>1. Click icon Bookmark trên card nhân vật bất kỳ
2. Kiểm tra trang Bookmarks có xuất hiện nhân vật đó không
3. Lặp lại thao tác bookmark từ trang chi tiết nhân vật khác</t>
  </si>
  <si>
    <t>Nhân vật được thêm đúng vào danh sách Bookmark ở cả 2 cách thao tác, icon Bookmark đổi trạng thái (filled) sau khi lưu.</t>
  </si>
  <si>
    <t>TC_CHAR_10</t>
  </si>
  <si>
    <t>Sắp xếp danh sách nhân vật theo tên A-Z</t>
  </si>
  <si>
    <t>Kiểm tra tùy chọn sắp xếp danh sách nhân vật theo tên tăng dần bảng chữ cái.</t>
  </si>
  <si>
    <t>1. Truy cập danh sách nhân vật của 1 danh mục
2. Chọn Sort A-Z
3. Quan sát thứ tự tên nhân vật</t>
  </si>
  <si>
    <t>Danh mục bất kỳ</t>
  </si>
  <si>
    <t>Danh sách sắp xếp đúng thứ tự bảng chữ cái tăng dần theo Tên nhân vật.</t>
  </si>
  <si>
    <t>TC_CHAR_11</t>
  </si>
  <si>
    <t>Tìm kiếm nhanh trong danh sách nhân vật</t>
  </si>
  <si>
    <t>Kiểm tra ô tìm kiếm nhanh (nếu có) trong hub lọc đúng theo tên nhân vật đang gõ.</t>
  </si>
  <si>
    <t>1. Truy cập danh sách nhân vật của 1 danh mục
2. Gõ 1 phần tên nhân vật vào ô tìm kiếm nhanh (nếu có)
3. Quan sát danh sách được lọc</t>
  </si>
  <si>
    <t>Từ khóa: 1 phần tên nhân vật cụ thể</t>
  </si>
  <si>
    <t>Danh sách chỉ còn hiển thị nhân vật có tên khớp với từ khóa đã nhập.</t>
  </si>
  <si>
    <t>Chỉ áp dụng nếu hub có ô tìm kiếm nhân vật riêng.</t>
  </si>
  <si>
    <t>TC_CHAR_12</t>
  </si>
  <si>
    <t>Breadcrumb tại trang chi tiết nhân vật chính xác</t>
  </si>
  <si>
    <t>Kiểm tra breadcrumb tại trang chi tiết nhân vật hiển thị đúng đường dẫn.</t>
  </si>
  <si>
    <t>1. Mở trang chi tiết 1 nhân vật thuộc danh mục "Comics"
2. Quan sát breadcrumb đầu trang</t>
  </si>
  <si>
    <t>1 nhân vật thuộc danh mục Comics</t>
  </si>
  <si>
    <t>Breadcrumb hiển thị dạng "Trang chủ &gt; Comics &gt; [Tên nhân vật]", các mắt xích hoạt động đúng.</t>
  </si>
  <si>
    <t>TC_CHAR_13</t>
  </si>
  <si>
    <t>Hồ sơ nhân vật hiển thị đúng tên tiếng Việt có dấu</t>
  </si>
  <si>
    <t>Kiểm tra tên/tiểu sử nhân vật chứa ký tự tiếng Việt có dấu hoặc Unicode đặc biệt hiển thị chính xác.</t>
  </si>
  <si>
    <t>1. Chuẩn bị 1 bản ghi nhân vật test có tên tiếng Việt có dấu (môi trường Staging)
2. Truy cập card và trang chi tiết nhân vật đó</t>
  </si>
  <si>
    <t>Tên nhân vật: "Nguyễn Thị Hương" (test)</t>
  </si>
  <si>
    <t>Tên hiển thị chính xác có dấu, không bị lỗi font/ký tự lạ (????) ở cả card và trang chi tiết.</t>
  </si>
  <si>
    <t>TC_CHAR_14</t>
  </si>
  <si>
    <t>Danh sách và trang chi tiết nhân vật responsive đúng trên mobile</t>
  </si>
  <si>
    <t>Kiểm tra danh sách nhân vật và trang chi tiết hiển thị đúng trên thiết bị di động.</t>
  </si>
  <si>
    <t>Mobile: Android 14 (Samsung/Pixel) &amp; iOS 17 - Safari/Chrome Mobile
URL: https://fandomverse.example.com/#anime/characters</t>
  </si>
  <si>
    <t>1. Mở trình duyệt mobile, truy cập danh sách nhân vật của 1 danh mục
2. Mở 1 trang chi tiết nhân vật</t>
  </si>
  <si>
    <t>Danh mục bất kỳ, viewport 375px</t>
  </si>
  <si>
    <t>Lưới card nhân vật và trang chi tiết hiển thị gọn gàng, không tràn ngang, ảnh/nội dung căn chỉnh hợp lý trên màn hình nhỏ.</t>
  </si>
  <si>
    <t>H. SỰ KIỆN (EVENT HIGHLIGHTS)  (10 test case)</t>
  </si>
  <si>
    <t>TC_EVT_01</t>
  </si>
  <si>
    <t>Danh sách sự kiện hiển thị tối thiểu 3 sự kiện theo yêu cầu SRS</t>
  </si>
  <si>
    <t>Kiểm tra Category Hub hiển thị tối thiểu 3 sự kiện (quá khứ và sắp tới) theo đúng yêu cầu SRS mục 1.6.8.</t>
  </si>
  <si>
    <t>Web: Chrome 125+, Firefox 126+, Safari 17+ / Windows 11 &amp; macOS
URL: https://fandomverse.example.com/#kpop/events</t>
  </si>
  <si>
    <t>1. Truy cập Category Hub "K-Pop"
2. Chọn tab/filter "Event"
3. Đếm số lượng sự kiện hiển thị</t>
  </si>
  <si>
    <t>Danh mục: K-Pop</t>
  </si>
  <si>
    <t>Danh sách hiển thị tối thiểu 3 sự kiện khác nhau.</t>
  </si>
  <si>
    <t>TC_EVT_02</t>
  </si>
  <si>
    <t>Card sự kiện hiển thị đủ các trường bắt buộc</t>
  </si>
  <si>
    <t>Kiểm tra mỗi card sự kiện hiển thị đủ: Title, Date, Location, Description, Category.</t>
  </si>
  <si>
    <t>1. Truy cập danh sách sự kiện của 1 danh mục
2. Chọn 2 card ngẫu nhiên, kiểm tra từng trường</t>
  </si>
  <si>
    <t>2 card sự kiện ngẫu nhiên</t>
  </si>
  <si>
    <t>Mỗi card hiển thị đủ 5 trường: Title, Date, Location, Description, Category, không thiếu trường nào.</t>
  </si>
  <si>
    <t>TC_EVT_03</t>
  </si>
  <si>
    <t>Bộ lọc sự kiện Upcoming và Past hoạt động đúng</t>
  </si>
  <si>
    <t>Kiểm tra bộ lọc trạng thái sự kiện Sắp diễn ra (Upcoming) và Đã diễn ra (Past) lọc đúng danh sách.</t>
  </si>
  <si>
    <t>1. Truy cập danh sách sự kiện của 1 danh mục
2. Chọn Filter "Upcoming", quan sát danh sách
3. Chọn Filter "Past", quan sát lại danh sách</t>
  </si>
  <si>
    <t>Danh mục bất kỳ; Filter: Upcoming, Past</t>
  </si>
  <si>
    <t>Filter Upcoming chỉ hiển thị sự kiện có ngày diễn ra sau ngày hiện tại; Filter Past chỉ hiển thị sự kiện đã diễn ra trước ngày hiện tại.</t>
  </si>
  <si>
    <t>TC_EVT_04</t>
  </si>
  <si>
    <t>Sự kiện Upcoming sắp xếp đúng theo ngày gần nhất lên đầu</t>
  </si>
  <si>
    <t>Kiểm tra danh sách sự kiện sắp diễn ra được sắp xếp theo ngày gần nhất lên đầu.</t>
  </si>
  <si>
    <t>1. Chọn Filter "Upcoming" trong danh sách sự kiện
2. Đối chiếu thứ tự ngày của các sự kiện hiển thị</t>
  </si>
  <si>
    <t>Danh mục bất kỳ; Filter: Upcoming</t>
  </si>
  <si>
    <t>Sự kiện có ngày diễn ra gần nhất so với hiện tại hiển thị đầu danh sách, các sự kiện xa hơn xếp sau theo thứ tự tăng dần.</t>
  </si>
  <si>
    <t>TC_EVT_05</t>
  </si>
  <si>
    <t>Sự kiện Past có nhãn/trạng thái phân biệt rõ</t>
  </si>
  <si>
    <t>Kiểm tra sự kiện đã diễn ra hiển thị có nhãn hoặc kiểu hiển thị (badge/màu xám) phân biệt rõ với sự kiện sắp tới.</t>
  </si>
  <si>
    <t>1. Chọn Filter "Past" hoặc xem danh sách tổng hợp có cả 2 loại
2. Quan sát nhãn/kiểu hiển thị của sự kiện đã qua</t>
  </si>
  <si>
    <t>Sự kiện đã diễn ra có nhãn rõ ràng (VD: badge "Đã diễn ra" hoặc kiểu hiển thị xám/mờ) khác biệt với sự kiện sắp tới.</t>
  </si>
  <si>
    <t>TC_EVT_06</t>
  </si>
  <si>
    <t>Click sự kiện mở đúng trang/modal chi tiết</t>
  </si>
  <si>
    <t>Kiểm tra click vào 1 sự kiện mở đúng trang hoặc modal chi tiết với đầy đủ thông tin.</t>
  </si>
  <si>
    <t>1. Click vào 1 card sự kiện bất kỳ
2. Quan sát trang/modal chi tiết mở ra</t>
  </si>
  <si>
    <t>1 sự kiện bất kỳ</t>
  </si>
  <si>
    <t>Trang/modal chi tiết hiển thị đầy đủ Title, Date, Location, Description đầy đủ (không rút gọn), Category.</t>
  </si>
  <si>
    <t>TC_EVT_07</t>
  </si>
  <si>
    <t>Data-driven: tối thiểu 3 sự kiện cho mỗi 7 danh mục</t>
  </si>
  <si>
    <t>Kiểm tra lần lượt cả 7 danh mục đều có tối thiểu 3 sự kiện theo đúng yêu cầu SRS.</t>
  </si>
  <si>
    <t>1. Lần lượt truy cập danh sách sự kiện của cả 7 danh mục
2. Đếm số lượng sự kiện ở mỗi danh mục</t>
  </si>
  <si>
    <t>Mỗi danh mục có tối thiểu 3 sự kiện hiển thị đầy đủ.</t>
  </si>
  <si>
    <t>TC_EVT_08</t>
  </si>
  <si>
    <t>Định dạng ngày tháng nhất quán trên toàn bộ card sự kiện</t>
  </si>
  <si>
    <t>Kiểm tra định dạng ngày tháng hiển thị nhất quán (dd/mm/yyyy) trên toàn bộ card sự kiện.</t>
  </si>
  <si>
    <t>1. Quan sát định dạng ngày ở 5 card sự kiện thuộc các danh mục khác nhau</t>
  </si>
  <si>
    <t>5 card sự kiện thuộc các danh mục khác nhau</t>
  </si>
  <si>
    <t>Toàn bộ 5 card hiển thị ngày tháng theo cùng 1 định dạng dd/mm/yyyy, không có sự khác biệt định dạng giữa các card.</t>
  </si>
  <si>
    <t>TC_EVT_09</t>
  </si>
  <si>
    <t>Xử lý khi sự kiện thiếu trường Location</t>
  </si>
  <si>
    <t>Kiểm tra giao diện hiển thị hợp lý khi 1 bản ghi sự kiện thiếu trường Location trong JSON.</t>
  </si>
  <si>
    <t>1. Chuẩn bị 1 bản ghi sự kiện test thiếu trường Location (môi trường Staging)
2. Truy cập card và trang chi tiết sự kiện đó</t>
  </si>
  <si>
    <t>1 bản ghi sự kiện thiếu trường Location</t>
  </si>
  <si>
    <t>Giao diện hiển thị "Chưa cập nhật địa điểm" hoặc ẩn trường Location hợp lý, không để trống lỗi giao diện.</t>
  </si>
  <si>
    <t>TC_EVT_10</t>
  </si>
  <si>
    <t>Danh sách sự kiện responsive đúng trên tablet/mobile</t>
  </si>
  <si>
    <t>Kiểm tra danh sách sự kiện hiển thị đúng, dễ đọc trên tablet và điện thoại.</t>
  </si>
  <si>
    <t>Mobile: Android 14 (Samsung/Pixel) &amp; iOS 17 - Safari/Chrome Mobile
URL: https://fandomverse.example.com/#kpop/events</t>
  </si>
  <si>
    <t>1. Thu nhỏ viewport về 768px, truy cập danh sách sự kiện
2. Thu nhỏ tiếp về 375px, quan sát lại</t>
  </si>
  <si>
    <t>Danh mục bất kỳ; viewport 768px và 375px</t>
  </si>
  <si>
    <t>Card sự kiện xếp lại hợp lý theo cột dọc trên màn hình nhỏ, không tràn ngang, thông tin vẫn đọc được đầy đủ.</t>
  </si>
  <si>
    <t>I. TRAILER  (12 test case)</t>
  </si>
  <si>
    <t>TC_TRL_01</t>
  </si>
  <si>
    <t>Trailer Hub hiển thị đúng danh sách trailer tổng hợp 7 danh mục</t>
  </si>
  <si>
    <t>Kiểm tra khi truy cập Trailer Hub, danh sách trailer tổng hợp từ tất cả 7 danh mục hiển thị đầy đủ.</t>
  </si>
  <si>
    <t>Web: Chrome 125+, Firefox 126+, Safari 17+ / Windows 11 &amp; macOS
URL: https://fandomverse.example.com/#trailers</t>
  </si>
  <si>
    <t>1. Truy cập Trailer Hub từ menu chính
2. Quan sát danh sách trailer hiển thị và danh mục nguồn của từng trailer</t>
  </si>
  <si>
    <t>Danh sách hiển thị trailer từ đầy đủ cả 7 danh mục, mỗi trailer có gắn nhãn danh mục nguồn rõ ràng.</t>
  </si>
  <si>
    <t>TC_TRL_02</t>
  </si>
  <si>
    <t>Bộ lọc trạng thái trailer Upcoming/Recently released</t>
  </si>
  <si>
    <t>Kiểm tra bộ lọc trạng thái "Sắp ra mắt" và "Mới phát hành" lọc đúng danh sách trailer.</t>
  </si>
  <si>
    <t>1. Truy cập Trailer Hub
2. Chọn Filter "Upcoming", quan sát danh sách
3. Chọn Filter "Recently released", quan sát lại</t>
  </si>
  <si>
    <t>Filter: Upcoming, Recently released</t>
  </si>
  <si>
    <t>Mỗi lựa chọn filter hiển thị đúng danh sách trailer thuộc trạng thái tương ứng, không lẫn trạng thái khác.</t>
  </si>
  <si>
    <t>TC_TRL_03</t>
  </si>
  <si>
    <t>Bộ lọc trailer theo Category</t>
  </si>
  <si>
    <t>Kiểm tra bộ lọc theo danh mục lọc đúng danh sách trailer hiển thị.</t>
  </si>
  <si>
    <t>1. Truy cập Trailer Hub
2. Chọn Category filter = "Movies"
3. Quan sát danh sách kết quả</t>
  </si>
  <si>
    <t>Category filter: Movies</t>
  </si>
  <si>
    <t>Danh sách chỉ hiển thị trailer thuộc danh mục Movies.</t>
  </si>
  <si>
    <t>TC_TRL_04</t>
  </si>
  <si>
    <t>Kết hợp Category filter và trạng thái trailer</t>
  </si>
  <si>
    <t>Kiểm tra khi áp dụng đồng thời Category filter và trạng thái trailer, kết quả đúng cả 2 điều kiện.</t>
  </si>
  <si>
    <t>1. Truy cập Trailer Hub
2. Chọn Category = "Anime" và Trạng thái = "Upcoming"
3. Quan sát kết quả</t>
  </si>
  <si>
    <t>Category: Anime; Trạng thái: Upcoming</t>
  </si>
  <si>
    <t>Danh sách chỉ hiển thị trailer Anime có trạng thái Sắp ra mắt.</t>
  </si>
  <si>
    <t>TC_TRL_05</t>
  </si>
  <si>
    <t>Click trailer phát đúng video và hiển thị thông tin liên quan</t>
  </si>
  <si>
    <t>Kiểm tra click vào 1 trailer phát đúng video và hiển thị tên phim/anime/game liên quan.</t>
  </si>
  <si>
    <t>1. Click vào 1 trailer bất kỳ trong danh sách
2. Quan sát video phát và thông tin hiển thị kèm theo</t>
  </si>
  <si>
    <t>1 trailer bất kỳ</t>
  </si>
  <si>
    <t>Video trailer phát đúng nội dung đã chọn, kèm hiển thị tên phim/anime/game và danh mục liên quan chính xác.</t>
  </si>
  <si>
    <t>TC_TRL_06</t>
  </si>
  <si>
    <t>Thumbnail trailer có icon Play rõ ràng phân biệt với ảnh thường</t>
  </si>
  <si>
    <t>Kiểm tra thumbnail trailer có icon Play nổi bật để phân biệt với ảnh thường trong Gallery.</t>
  </si>
  <si>
    <t>1. Truy cập Trailer Hub
2. Quan sát thumbnail của các trailer</t>
  </si>
  <si>
    <t>Danh sách trailer trong Trailer Hub</t>
  </si>
  <si>
    <t>Mỗi thumbnail trailer có icon Play (hình tam giác) hiển thị rõ ràng ở giữa hoặc góc ảnh.</t>
  </si>
  <si>
    <t>TC_TRL_07</t>
  </si>
  <si>
    <t>Trailer sắp xếp theo ngày phát hành mới nhất trước</t>
  </si>
  <si>
    <t>Kiểm tra danh sách trailer mặc định sắp xếp theo ngày phát hành, mới nhất lên đầu.</t>
  </si>
  <si>
    <t>1. Truy cập Trailer Hub, không áp dụng filter
2. Đối chiếu ngày phát hành của 3 trailer đầu tiên</t>
  </si>
  <si>
    <t>3 trailer đầu tiên có ngày phát hành gần nhất, thứ tự giảm dần theo thời gian.</t>
  </si>
  <si>
    <t>TC_TRL_08</t>
  </si>
  <si>
    <t>Trạng thái Empty khi bộ lọc trailer không có kết quả</t>
  </si>
  <si>
    <t>Kiểm tra giao diện hiển thị thông báo hợp lý khi bộ lọc trailer không khớp bất kỳ kết quả nào.</t>
  </si>
  <si>
    <t>1. Truy cập Trailer Hub
2. Chọn kết hợp Category + trạng thái không có dữ liệu tương ứng
3. Quan sát khu vực kết quả</t>
  </si>
  <si>
    <t>Filter kết hợp không có dữ liệu</t>
  </si>
  <si>
    <t>Hiển thị thông báo "Không có trailer phù hợp" rõ ràng, không hiển thị khung trắng.</t>
  </si>
  <si>
    <t>TC_TRL_09</t>
  </si>
  <si>
    <t>Xử lý khi link video trailer trong JSON không hợp lệ</t>
  </si>
  <si>
    <t>Kiểm tra giao diện thông báo lỗi hợp lý khi link video trong trailers.json không hợp lệ.</t>
  </si>
  <si>
    <t>1. Chuẩn bị 1 bản ghi trailer test với link video không hợp lệ (môi trường Staging)
2. Click vào trailer đó</t>
  </si>
  <si>
    <t>1 bản ghi trailer với link không hợp lệ</t>
  </si>
  <si>
    <t>Hiển thị thông báo "Không thể phát trailer này" thay vì khung trắng hoặc lỗi console nghiêm trọng.</t>
  </si>
  <si>
    <t>TC_TRL_10</t>
  </si>
  <si>
    <t>Trailer Hub tải nhanh và có trạng thái loading khi dữ liệu lớn</t>
  </si>
  <si>
    <t>Kiểm tra Trailer Hub hiển thị trạng thái loading hợp lý và tải ổn định khi số lượng trailer lớn.</t>
  </si>
  <si>
    <t>1. Bật DevTools Throttling "Slow 3G"
2. Truy cập Trailer Hub
3. Quan sát trạng thái loading trong lúc tải</t>
  </si>
  <si>
    <t>Hiển thị skeleton/spinner trong lúc tải, danh sách hiển thị đầy đủ sau khi tải xong, không bị treo giao diện.</t>
  </si>
  <si>
    <t>TC_TRL_11</t>
  </si>
  <si>
    <t>Trailer Hub responsive đúng trên thiết bị di động</t>
  </si>
  <si>
    <t>Kiểm tra Trailer Hub hiển thị đúng dạng lưới/danh sách phù hợp trên màn hình di động.</t>
  </si>
  <si>
    <t>Mobile: Android 14 (Samsung/Pixel) &amp; iOS 17 - Safari/Chrome Mobile
URL: https://fandomverse.example.com/#trailers</t>
  </si>
  <si>
    <t>1. Mở trình duyệt mobile, truy cập Trailer Hub
2. Quan sát bố cục danh sách trailer</t>
  </si>
  <si>
    <t>Viewport 375px</t>
  </si>
  <si>
    <t>Danh sách trailer hiển thị dạng cột dọc phù hợp màn hình nhỏ, không tràn ngang, thumbnail rõ nét.</t>
  </si>
  <si>
    <t>TC_TRL_12</t>
  </si>
  <si>
    <t>Chức năng chia sẻ/sao chép link trailer</t>
  </si>
  <si>
    <t>Kiểm tra nút Share (nếu có) sao chép đúng link trailer vào clipboard.</t>
  </si>
  <si>
    <t>1. Mở 1 trailer bất kỳ
2. Nhấn nút Share/Copy link
3. Dán (Ctrl+V) nội dung clipboard vào 1 nơi khác để kiểm tra</t>
  </si>
  <si>
    <t>Link được sao chép chính xác vào clipboard, có thông báo xác nhận "Đã sao chép liên kết" hiển thị trên giao diện.</t>
  </si>
  <si>
    <t>Chỉ áp dụng nếu tính năng Share có triển khai.</t>
  </si>
  <si>
    <t>J. MERCHANDISE &amp; GIỎ HÀNG  (22 test case)</t>
  </si>
  <si>
    <t>TC_MERCH_01</t>
  </si>
  <si>
    <t>Trang Merchandise hiển thị đúng danh sách sản phẩm dạng card</t>
  </si>
  <si>
    <t>Kiểm tra trang Merchandise hiển thị đầy đủ danh sách sản phẩm dạng card theo dữ liệu merchandise.json.</t>
  </si>
  <si>
    <t>Web: Chrome 125+, Firefox 126+, Safari 17+ / Windows 11 &amp; macOS
URL: https://fandomverse.example.com/#merchandise</t>
  </si>
  <si>
    <t>1. Truy cập trang Merchandise
2. Quan sát danh sách sản phẩm hiển thị</t>
  </si>
  <si>
    <t>Danh sách sản phẩm hiển thị đầy đủ dạng lưới card, đúng dữ liệu nguồn merchandise.json.</t>
  </si>
  <si>
    <t>Happy path - chạy đầu tiên nhóm Merchandise.</t>
  </si>
  <si>
    <t>TC_MERCH_02</t>
  </si>
  <si>
    <t>Card sản phẩm hiển thị đủ các trường bắt buộc</t>
  </si>
  <si>
    <t>Kiểm tra mỗi card sản phẩm hiển thị đủ Ảnh, Tên, Giá/Khoảng giá, Mô tả ngắn.</t>
  </si>
  <si>
    <t>1. Chọn 3 card sản phẩm ngẫu nhiên
2. Kiểm tra từng trường hiển thị</t>
  </si>
  <si>
    <t>3 card sản phẩm ngẫu nhiên</t>
  </si>
  <si>
    <t>Mỗi card hiển thị đủ 4 trường: Ảnh, Tên, Giá/Khoảng giá, Mô tả ngắn, không thiếu trường nào.</t>
  </si>
  <si>
    <t>TC_MERCH_03</t>
  </si>
  <si>
    <t>Nút Thêm vào giỏ hàng thêm đúng sản phẩm</t>
  </si>
  <si>
    <t>Kiểm tra nút Thêm vào giỏ hàng thêm đúng sản phẩm đã chọn vào Cart.</t>
  </si>
  <si>
    <t>1. Chọn 1 sản phẩm bất kỳ
2. Nhấn nút "Thêm vào giỏ hàng"
3. Mở giỏ hàng, kiểm tra sản phẩm đã thêm</t>
  </si>
  <si>
    <t>1 sản phẩm bất kỳ</t>
  </si>
  <si>
    <t>Sản phẩm xuất hiện đúng trong giỏ hàng với số lượng 1, thông tin (tên, giá, ảnh) khớp với sản phẩm đã chọn.</t>
  </si>
  <si>
    <t>TC_MERCH_04</t>
  </si>
  <si>
    <t>Icon giỏ hàng cập nhật đúng số lượng ngay sau khi thêm</t>
  </si>
  <si>
    <t>Kiểm tra badge số lượng trên icon giỏ hàng cập nhật ngay lập tức sau khi thêm sản phẩm.</t>
  </si>
  <si>
    <t>1. Ghi nhận số lượng hiện tại trên badge giỏ hàng
2. Thêm 1 sản phẩm vào giỏ
3. Quan sát badge ngay sau khi thêm</t>
  </si>
  <si>
    <t>Badge số lượng tăng thêm đúng 1 ngay lập tức, không cần tải lại trang.</t>
  </si>
  <si>
    <t>TC_MERCH_05</t>
  </si>
  <si>
    <t>Mở giỏ hàng hiển thị đúng danh sách sản phẩm đã thêm</t>
  </si>
  <si>
    <t>Kiểm tra khi mở Cart modal/trang, danh sách sản phẩm đã thêm trước đó hiển thị đầy đủ và chính xác.</t>
  </si>
  <si>
    <t>1. Thêm 3 sản phẩm khác nhau vào giỏ
2. Mở giỏ hàng
3. Đối chiếu danh sách hiển thị với 3 sản phẩm đã thêm</t>
  </si>
  <si>
    <t>3 sản phẩm khác nhau</t>
  </si>
  <si>
    <t>Giỏ hàng hiển thị đầy đủ đúng 3 sản phẩm đã thêm, không thiếu/thừa/sai thông tin.</t>
  </si>
  <si>
    <t>TC_MERCH_06</t>
  </si>
  <si>
    <t>Tăng/giảm số lượng sản phẩm trong giỏ hàng</t>
  </si>
  <si>
    <t>Kiểm tra nút tăng/giảm số lượng (+/-) hoạt động đúng cho từng sản phẩm trong giỏ.</t>
  </si>
  <si>
    <t>1. Mở giỏ hàng có sẵn 1 sản phẩm
2. Nhấn nút + 2 lần
3. Nhấn nút - 1 lần</t>
  </si>
  <si>
    <t>1 sản phẩm trong giỏ, số lượng ban đầu = 1</t>
  </si>
  <si>
    <t>Số lượng sản phẩm cập nhật đúng theo từng thao tác: 1 -&gt; 2 -&gt; 3 -&gt; 2.</t>
  </si>
  <si>
    <t>TC_MERCH_07</t>
  </si>
  <si>
    <t>Tổng tiền tự động tính lại chính xác khi thay đổi số lượng</t>
  </si>
  <si>
    <t>Kiểm tra Total (tổng tiền) trong giỏ hàng tự động cập nhật chính xác theo thay đổi số lượng sản phẩm.</t>
  </si>
  <si>
    <t>1. Thêm 1 sản phẩm giá cố định vào giỏ
2. Tăng số lượng lên 3
3. Kiểm tra giá trị Total hiển thị</t>
  </si>
  <si>
    <t>1 sản phẩm giá cố định, số lượng = 3</t>
  </si>
  <si>
    <t>Total = Đơn giá x 3, tính toán chính xác bằng JavaScript, không sai lệch.</t>
  </si>
  <si>
    <t>TC_MERCH_08</t>
  </si>
  <si>
    <t>Xóa 1 sản phẩm khỏi giỏ hàng, tổng tiền cập nhật lại đúng</t>
  </si>
  <si>
    <t>Kiểm tra nút xóa sản phẩm khỏi giỏ hàng hoạt động đúng và Total được tính lại chính xác.</t>
  </si>
  <si>
    <t>1. Giỏ hàng có 2 sản phẩm khác nhau
2. Xóa 1 sản phẩm
3. Kiểm tra danh sách còn lại và giá trị Total</t>
  </si>
  <si>
    <t>Giỏ hàng có 2 sản phẩm</t>
  </si>
  <si>
    <t>Sản phẩm bị xóa biến mất khỏi danh sách, Total tự động tính lại đúng chỉ còn giá trị của sản phẩm còn lại.</t>
  </si>
  <si>
    <t>TC_MERCH_09</t>
  </si>
  <si>
    <t>Thêm cùng 1 sản phẩm nhiều lần chỉ tăng số lượng</t>
  </si>
  <si>
    <t>Kiểm tra khi thêm cùng 1 sản phẩm nhiều lần từ trang danh sách, giỏ hàng chỉ tăng số lượng, không tạo dòng trùng lặp.</t>
  </si>
  <si>
    <t>1. Thêm sản phẩm A vào giỏ
2. Quay lại danh sách, thêm lại sản phẩm A lần nữa
3. Mở giỏ hàng kiểm tra</t>
  </si>
  <si>
    <t>1 sản phẩm A, thêm 2 lần liên tiếp</t>
  </si>
  <si>
    <t>Giỏ hàng chỉ có 1 dòng cho sản phẩm A với số lượng = 2, không tạo 2 dòng riêng biệt.</t>
  </si>
  <si>
    <t>TC_MERCH_10</t>
  </si>
  <si>
    <t>Giỏ hàng trống hiển thị thông báo Empty Cart hợp lý</t>
  </si>
  <si>
    <t>Kiểm tra giao diện giỏ hàng khi chưa có sản phẩm nào hiển thị thông báo/hình ảnh Empty Cart.</t>
  </si>
  <si>
    <t>1. Đảm bảo giỏ hàng đang trống (xóa hết sản phẩm nếu có)
2. Mở giỏ hàng</t>
  </si>
  <si>
    <t>Giỏ hàng trống</t>
  </si>
  <si>
    <t>Hiển thị thông báo/illustration "Giỏ hàng của bạn đang trống" kèm nút gợi ý quay lại mua sắm.</t>
  </si>
  <si>
    <t>TC_MERCH_11</t>
  </si>
  <si>
    <t>Giỏ hàng KHÔNG có nút Checkout/Thanh toán thực tế</t>
  </si>
  <si>
    <t>Kiểm tra giỏ hàng không cung cấp chức năng thanh toán thực tế, đúng theo ràng buộc SRS.</t>
  </si>
  <si>
    <t>1. Mở giỏ hàng có sản phẩm
2. Quan sát toàn bộ nút/hành động khả dụng trong giỏ hàng</t>
  </si>
  <si>
    <t>Giỏ hàng có ít nhất 1 sản phẩm</t>
  </si>
  <si>
    <t>Không có nút "Thanh toán"/"Checkout" dẫn tới quy trình thanh toán thực tế; nếu có nút tương tự, chỉ mang tính minh họa/disabled, không xử lý giao dịch thật.</t>
  </si>
  <si>
    <t>Kiểm thử tuân thủ ràng buộc No-backend/No-payment của SRS.</t>
  </si>
  <si>
    <t>TC_MERCH_12</t>
  </si>
  <si>
    <t>Dữ liệu giỏ hàng lưu trong LocalStorage, còn nguyên sau khi F5</t>
  </si>
  <si>
    <t>Kiểm tra giỏ hàng được lưu tạm trong LocalStorage và không bị mất sau khi tải lại trang.</t>
  </si>
  <si>
    <t>1. Thêm 2 sản phẩm vào giỏ
2. Nhấn F5 tải lại trang
3. Mở lại giỏ hàng kiểm tra</t>
  </si>
  <si>
    <t>2 sản phẩm trong giỏ trước khi F5</t>
  </si>
  <si>
    <t>Sau khi tải lại trang, giỏ hàng vẫn giữ nguyên đầy đủ 2 sản phẩm và số lượng tương ứng.</t>
  </si>
  <si>
    <t>TC_MERCH_13</t>
  </si>
  <si>
    <t>Giỏ hàng giữ nguyên khi chuyển qua lại giữa các Category Hub</t>
  </si>
  <si>
    <t>Kiểm tra giỏ hàng không bị reset khi người dùng điều hướng qua lại giữa các trang khác nhau trong ứng dụng.</t>
  </si>
  <si>
    <t>1. Thêm 1 sản phẩm vào giỏ
2. Điều hướng qua 2-3 Category Hub khác nhau
3. Mở lại giỏ hàng kiểm tra</t>
  </si>
  <si>
    <t>1 sản phẩm trong giỏ</t>
  </si>
  <si>
    <t>Giỏ hàng vẫn giữ nguyên sản phẩm đã thêm sau khi điều hướng qua nhiều trang khác nhau.</t>
  </si>
  <si>
    <t>TC_MERCH_14</t>
  </si>
  <si>
    <t>Validate ô nhập số lượng trực tiếp trong giỏ hàng</t>
  </si>
  <si>
    <t>Kiểm tra ô nhập số lượng trực tiếp (nếu có) chặn giá trị không hợp lệ như số âm, số 0, ký tự chữ.</t>
  </si>
  <si>
    <t>1. Mở giỏ hàng có 1 sản phẩm
2. Nhập số lượng = -1 vào ô số lượng
3. Thử nhập 0
4. Thử nhập ký tự chữ "abc"</t>
  </si>
  <si>
    <t>Số lượng nhập: -1, 0, abc</t>
  </si>
  <si>
    <t>Với mỗi giá trị không hợp lệ, giao diện từ chối hoặc tự điều chỉnh về giá trị hợp lệ tối thiểu (VD: 1), không chấp nhận số âm/chữ.</t>
  </si>
  <si>
    <t>TC_MERCH_15</t>
  </si>
  <si>
    <t>Tính tổng tiền chính xác với sản phẩm có khoảng giá (Price Range)</t>
  </si>
  <si>
    <t>Kiểm tra Total tính đúng khi sản phẩm trong giỏ có Price Range thay vì giá cố định (theo quy ước đã thống nhất, VD: lấy giá thấp nhất).</t>
  </si>
  <si>
    <t>1. Thêm 1 sản phẩm có Price Range (VD: 100.000đ - 150.000đ) vào giỏ
2. Kiểm tra giá trị được cộng vào Total</t>
  </si>
  <si>
    <t>1 sản phẩm Price Range: 100.000đ - 150.000đ</t>
  </si>
  <si>
    <t>Total cộng đúng theo quy ước hiển thị đã thống nhất (VD: giá thấp nhất trong khoảng), có ghi chú rõ ràng đây là giá tạm tính theo khoảng giá.</t>
  </si>
  <si>
    <t>Cần xác nhận quy ước tính giá với BA trước khi đánh Fail.</t>
  </si>
  <si>
    <t>TC_MERCH_16</t>
  </si>
  <si>
    <t>Giới hạn số lượng tối đa hợp lý cho 1 sản phẩm</t>
  </si>
  <si>
    <t>Kiểm tra giới hạn số lượng tối đa cho phép thêm của 1 sản phẩm trong giỏ (nếu hệ thống có áp dụng rule).</t>
  </si>
  <si>
    <t>1. Mở giỏ hàng có 1 sản phẩm
2. Liên tục nhấn nút + tới khi vượt ngưỡng giới hạn giả định (VD: 99)
3. Quan sát hành vi khi đạt ngưỡng</t>
  </si>
  <si>
    <t>1 sản phẩm, tăng số lượng tới 100</t>
  </si>
  <si>
    <t>Nút + bị vô hiệu hóa hoặc hiển thị thông báo khi đạt số lượng tối đa cho phép, không cho tăng vượt ngưỡng.</t>
  </si>
  <si>
    <t>Chỉ áp dụng nếu hệ thống có quy định giới hạn số lượng tối đa.</t>
  </si>
  <si>
    <t>TC_MERCH_17</t>
  </si>
  <si>
    <t>Bộ lọc/sắp xếp sản phẩm theo loại Merchandise</t>
  </si>
  <si>
    <t>Kiểm tra bộ lọc theo loại sản phẩm (Collectibles, Apparel, Accessories, Plushies, Figures) lọc đúng danh sách.</t>
  </si>
  <si>
    <t>1. Truy cập trang Merchandise
2. Chọn Filter loại = "Apparel"
3. Quan sát danh sách kết quả</t>
  </si>
  <si>
    <t>Filter loại: Apparel</t>
  </si>
  <si>
    <t>Danh sách chỉ hiển thị đúng sản phẩm thuộc loại Apparel.</t>
  </si>
  <si>
    <t>TC_MERCH_18</t>
  </si>
  <si>
    <t>Bộ lọc/sắp xếp sản phẩm theo giá</t>
  </si>
  <si>
    <t>Kiểm tra tùy chọn sắp xếp sản phẩm theo giá tăng dần/giảm dần hoạt động đúng.</t>
  </si>
  <si>
    <t>1. Truy cập trang Merchandise
2. Chọn Sort "Giá thấp đến cao", ghi nhận thứ tự giá 3 sản phẩm đầu
3. Chọn Sort "Giá cao đến thấp", ghi nhận lại</t>
  </si>
  <si>
    <t>Sort: Giá thấp-cao, Giá cao-thấp</t>
  </si>
  <si>
    <t>Danh sách sắp xếp đúng theo giá tăng dần khi chọn thấp-cao, và giảm dần khi chọn cao-thấp.</t>
  </si>
  <si>
    <t>TC_MERCH_19</t>
  </si>
  <si>
    <t>Click sản phẩm mở đúng trang/modal chi tiết sản phẩm</t>
  </si>
  <si>
    <t>Kiểm tra click vào 1 sản phẩm mở đúng trang hoặc modal chi tiết với đầy đủ thông tin.</t>
  </si>
  <si>
    <t>1. Click vào 1 card sản phẩm bất kỳ
2. Quan sát trang/modal chi tiết mở ra</t>
  </si>
  <si>
    <t>Trang/modal chi tiết hiển thị đầy đủ ảnh (có thể phóng to), tên, giá, mô tả đầy đủ, nút Thêm vào giỏ hàng.</t>
  </si>
  <si>
    <t>TC_MERCH_20</t>
  </si>
  <si>
    <t>Nút Xóa toàn bộ giỏ hàng hoạt động đúng và có xác nhận</t>
  </si>
  <si>
    <t>Kiểm tra nút Clear cart xóa toàn bộ sản phẩm trong giỏ và có bước xác nhận trước khi xóa.</t>
  </si>
  <si>
    <t>1. Giỏ hàng có từ 2 sản phẩm trở lên
2. Nhấn nút "Xóa toàn bộ giỏ hàng"
3. Xác nhận trong hộp thoại cảnh báo (nếu có)</t>
  </si>
  <si>
    <t>Giỏ hàng có 2 sản phẩm trở lên</t>
  </si>
  <si>
    <t>Xuất hiện hộp thoại xác nhận trước khi xóa; sau khi xác nhận, giỏ hàng trở về trạng thái trống hoàn toàn.</t>
  </si>
  <si>
    <t>TC_MERCH_21</t>
  </si>
  <si>
    <t>Hiển thị an toàn khi ảnh sản phẩm lỗi đường dẫn</t>
  </si>
  <si>
    <t>Kiểm tra giao diện hiển thị ảnh placeholder khi đường dẫn ảnh sản phẩm trong merchandise.json không hợp lệ.</t>
  </si>
  <si>
    <t>1. Chuẩn bị 1 bản ghi sản phẩm test với đường dẫn ảnh sai
2. Truy cập trang Merchandise, quan sát card sản phẩm đó</t>
  </si>
  <si>
    <t>1 bản ghi sản phẩm với ảnh lỗi đường dẫn</t>
  </si>
  <si>
    <t>Hiển thị ảnh placeholder mặc định thay cho ảnh lỗi, không vỡ layout card.</t>
  </si>
  <si>
    <t>TC_MERCH_22</t>
  </si>
  <si>
    <t>Trang Merchandise và giỏ hàng responsive đúng trên mobile</t>
  </si>
  <si>
    <t>Kiểm tra trang Merchandise và thao tác thêm/sửa giỏ hàng mượt trên thiết bị di động.</t>
  </si>
  <si>
    <t>Mobile: Android 14 (Samsung/Pixel) &amp; iOS 17 - Safari/Chrome Mobile
URL: https://fandomverse.example.com/#merchandise</t>
  </si>
  <si>
    <t>1. Mở trình duyệt mobile, truy cập trang Merchandise
2. Thêm 1 sản phẩm vào giỏ, mở giỏ hàng, thử tăng/giảm số lượng</t>
  </si>
  <si>
    <t>1 sản phẩm bất kỳ, viewport 375px</t>
  </si>
  <si>
    <t>Lưới sản phẩm hiển thị hợp lý trên màn hình nhỏ; thao tác thêm/sửa giỏ hàng mượt, các nút đủ lớn để chạm (tap target).</t>
  </si>
  <si>
    <t>K. CHATBOT AI  (16 test case)</t>
  </si>
  <si>
    <t>TC_BOT_01</t>
  </si>
  <si>
    <t>Icon Chatbot nổi hiển thị trên mọi trang và mở/đóng được</t>
  </si>
  <si>
    <t>Kiểm tra icon chatbot floating hiển thị trên mọi trang và có thể mở/đóng cửa sổ chat.</t>
  </si>
  <si>
    <t>1. Truy cập lần lượt 3 trang khác nhau (Trang chủ, Category Hub, Merchandise)
2. Ở mỗi trang, click icon chatbot để mở, sau đó click lại để đóng</t>
  </si>
  <si>
    <t>3 trang khác nhau trong hệ thống</t>
  </si>
  <si>
    <t>Icon chatbot hiển thị nhất quán ở cả 3 trang; click mở ra đúng cửa sổ chat, click lại đóng đúng cửa sổ chat.</t>
  </si>
  <si>
    <t>TC_BOT_02</t>
  </si>
  <si>
    <t>Tin nhắn chào mừng mặc định hiển thị khi mở chatbot lần đầu</t>
  </si>
  <si>
    <t>Kiểm tra chatbot hiển thị tin nhắn chào mừng mặc định khi người dùng mở cửa sổ chat lần đầu trong phiên.</t>
  </si>
  <si>
    <t>1. Xóa dữ liệu phiên/tải trang mới hoàn toàn
2. Click mở chatbot lần đầu tiên
3. Quan sát tin nhắn đầu tiên xuất hiện</t>
  </si>
  <si>
    <t>Phiên làm việc mới, chưa từng mở chatbot</t>
  </si>
  <si>
    <t>Chatbot hiển thị đúng tin nhắn chào mừng mặc định kèm gợi ý câu hỏi/quick reply ban đầu.</t>
  </si>
  <si>
    <t>TC_BOT_03</t>
  </si>
  <si>
    <t>Chatbot trả lời đúng câu hỏi khớp FAQ (Happy path)</t>
  </si>
  <si>
    <t>Kiểm tra chatbot trả lời chính xác khi câu hỏi người dùng khớp với 1 rule trong chatbot_faq.json.</t>
  </si>
  <si>
    <t>1. Mở chatbot
2. Gõ 1 câu hỏi khớp với FAQ đã biết trước (VD: "Làm sao để thêm sản phẩm vào giỏ hàng?")
3. Gửi tin nhắn, quan sát câu trả lời</t>
  </si>
  <si>
    <t>Câu hỏi: "Làm sao để thêm sản phẩm vào giỏ hàng?"</t>
  </si>
  <si>
    <t>Chatbot trả lời đúng nội dung đã cấu hình sẵn trong chatbot_faq.json cho câu hỏi tương ứng.</t>
  </si>
  <si>
    <t>Happy path - chạy đầu tiên nhóm Chatbot.</t>
  </si>
  <si>
    <t>TC_BOT_04</t>
  </si>
  <si>
    <t>Nút trả lời nhanh (quick reply) hoạt động đúng</t>
  </si>
  <si>
    <t>Kiểm tra các nút quick reply do chatbot đề xuất hoạt động đúng khi người dùng bấm vào.</t>
  </si>
  <si>
    <t>1. Mở chatbot, quan sát các nút quick reply được gợi ý
2. Click vào 1 nút quick reply bất kỳ
3. Quan sát phản hồi tiếp theo của chatbot</t>
  </si>
  <si>
    <t>1 nút quick reply bất kỳ</t>
  </si>
  <si>
    <t>Click quick reply gửi đúng nội dung tương ứng và nhận được phản hồi phù hợp từ chatbot, không cần gõ tay.</t>
  </si>
  <si>
    <t>TC_BOT_05</t>
  </si>
  <si>
    <t>Chatbot deep-link điều hướng đúng tới trang danh mục nội bộ</t>
  </si>
  <si>
    <t>Kiểm tra khi chatbot gợi ý liên kết nội bộ, click vào gợi ý điều hướng đúng tới trang tương ứng.</t>
  </si>
  <si>
    <t>1. Mở chatbot, hỏi câu liên quan tới 1 danh mục cụ thể (VD: "Tôi muốn xem Anime")
2. Click vào link/nút gợi ý chatbot trả về</t>
  </si>
  <si>
    <t>Câu hỏi: "Tôi muốn xem Anime"</t>
  </si>
  <si>
    <t>Chatbot trả về gợi ý kèm liên kết; click vào liên kết điều hướng đúng tới Category Hub "Anime".</t>
  </si>
  <si>
    <t>TC_BOT_06</t>
  </si>
  <si>
    <t>Chatbot phản hồi hợp lý khi câu hỏi không khớp rule nào (Fallback)</t>
  </si>
  <si>
    <t>Kiểm tra chatbot hiển thị thông báo fallback hợp lý khi câu hỏi không khớp với bất kỳ rule FAQ nào.</t>
  </si>
  <si>
    <t>1. Mở chatbot
2. Gõ 1 câu hỏi ngẫu nhiên không liên quan tới FAQ (VD: "Thời tiết hôm nay thế nào?")
3. Gửi tin nhắn, quan sát phản hồi</t>
  </si>
  <si>
    <t>Câu hỏi: "Thời tiết hôm nay thế nào?"</t>
  </si>
  <si>
    <t>Chatbot trả về thông báo fallback lịch sự (VD: "Xin lỗi, tôi chưa hiểu câu hỏi này, bạn có thể thử...") kèm gợi ý các câu hỏi phổ biến.</t>
  </si>
  <si>
    <t>TC_BOT_07</t>
  </si>
  <si>
    <t>Hiển thị an toàn khi nhập mã script vào ô chat</t>
  </si>
  <si>
    <t>Kiểm tra ô nhập tin nhắn chatbot hiển thị lại nội dung dưới dạng văn bản thuần, không thực thi mã khi nhập script.</t>
  </si>
  <si>
    <t>1. Mở chatbot
2. Nhập đoạn mã script vào ô chat và gửi
3. Quan sát tin nhắn hiển thị trong khung chat</t>
  </si>
  <si>
    <t>Nội dung: &lt;script&gt;alert('test')&lt;/script&gt;</t>
  </si>
  <si>
    <t>Tin nhắn hiển thị dưới dạng văn bản thuần trong khung chat, không có popup/alert bất thường xuất hiện.</t>
  </si>
  <si>
    <t>TC_BOT_08</t>
  </si>
  <si>
    <t>Lịch sử hội thoại giữ nguyên khi thu nhỏ rồi mở lại trong cùng phiên</t>
  </si>
  <si>
    <t>Kiểm tra lịch sử tin nhắn chatbot không bị mất khi người dùng thu nhỏ rồi mở lại cửa sổ chat trong cùng phiên làm việc.</t>
  </si>
  <si>
    <t>1. Mở chatbot, gửi 2-3 tin nhắn
2. Thu nhỏ (đóng) cửa sổ chat
3. Mở lại cửa sổ chat</t>
  </si>
  <si>
    <t>2-3 tin nhắn đã gửi trước đó</t>
  </si>
  <si>
    <t>Toàn bộ lịch sử hội thoại trước đó vẫn hiển thị đầy đủ khi mở lại cửa sổ chat trong cùng phiên.</t>
  </si>
  <si>
    <t>TC_BOT_09</t>
  </si>
  <si>
    <t>Hành vi lịch sử chat khi tải lại trang (F5)</t>
  </si>
  <si>
    <t>Kiểm tra hành vi lịch sử hội thoại chatbot khi tải lại trang, đúng theo thiết kế đã thống nhất (giữ hoặc reset).</t>
  </si>
  <si>
    <t>1. Mở chatbot, gửi 1-2 tin nhắn
2. Nhấn F5 tải lại trang
3. Mở lại chatbot, quan sát lịch sử hội thoại</t>
  </si>
  <si>
    <t>1-2 tin nhắn đã gửi trước khi F5</t>
  </si>
  <si>
    <t>Lịch sử hội thoại xử lý nhất quán theo đúng thiết kế đã thống nhất với BA (VD: reset về tin nhắn chào mừng, hoặc giữ nguyên nếu lưu LocalStorage) - không hiển thị trạng thái lỗi/trống bất thường.</t>
  </si>
  <si>
    <t>Cần xác nhận rõ thiết kế mong muốn (giữ hay reset lịch sử) trước khi đánh Fail.</t>
  </si>
  <si>
    <t>TC_BOT_10</t>
  </si>
  <si>
    <t>Nút đóng/thu nhỏ cửa sổ chatbot hoạt động đúng</t>
  </si>
  <si>
    <t>Kiểm tra nút đóng/thu nhỏ trên cửa sổ chatbot hoạt động đúng, quay về icon nổi ban đầu.</t>
  </si>
  <si>
    <t>1. Mở cửa sổ chatbot
2. Nhấn nút đóng/thu nhỏ (X hoặc mũi tên) trên cửa sổ chat</t>
  </si>
  <si>
    <t>Cửa sổ chat đóng lại, quay về hiển thị icon chatbot nổi như ban đầu.</t>
  </si>
  <si>
    <t>TC_BOT_11</t>
  </si>
  <si>
    <t>Chatbot không gọi API AI bên ngoài</t>
  </si>
  <si>
    <t>Kiểm tra chatbot hoạt động hoàn toàn dựa trên dữ liệu cục bộ, không gửi request ra API AI bên ngoài, đúng ràng buộc SRS mục 1.5.3.</t>
  </si>
  <si>
    <t>1. Mở DevTools &gt; Network, lọc theo domain
2. Mở chatbot và gửi 3-5 câu hỏi khác nhau
3. Quan sát danh sách request phát sinh trong tab Network</t>
  </si>
  <si>
    <t>3-5 câu hỏi khác nhau gửi tới chatbot</t>
  </si>
  <si>
    <t>Không có bất kỳ request nào gửi tới domain API AI bên ngoài (VD: openai.com, anthropic.com...); toàn bộ xử lý diễn ra phía client dựa trên chatbot_faq.json.</t>
  </si>
  <si>
    <t>Kiểm thử tuân thủ ràng buộc No external AI API của SRS.</t>
  </si>
  <si>
    <t>TC_BOT_12</t>
  </si>
  <si>
    <t>Chatbot hiển thị đúng khi câu hỏi có ký tự tiếng Việt có dấu</t>
  </si>
  <si>
    <t>Kiểm tra chatbot xử lý và hiển thị đúng câu hỏi/câu trả lời chứa ký tự tiếng Việt có dấu.</t>
  </si>
  <si>
    <t>1. Mở chatbot
2. Gõ câu hỏi có dấu tiếng Việt khớp với 1 rule FAQ
3. Gửi và quan sát câu trả lời</t>
  </si>
  <si>
    <t>Câu hỏi: "Làm sao để tìm kiếm nội dung Anime?"</t>
  </si>
  <si>
    <t>Câu hỏi và câu trả lời hiển thị đúng, đầy đủ dấu tiếng Việt, không lỗi encoding/ký tự lạ.</t>
  </si>
  <si>
    <t>TC_BOT_13</t>
  </si>
  <si>
    <t>Ô nhập chat chặn gửi tin nhắn rỗng</t>
  </si>
  <si>
    <t>Kiểm tra nút Gửi bị vô hiệu hóa hoặc không gửi được khi ô nhập tin nhắn đang trống.</t>
  </si>
  <si>
    <t>1. Mở chatbot, không nhập gì vào ô chat
2. Nhấn nút Gửi (hoặc Enter)</t>
  </si>
  <si>
    <t>Nội dung tin nhắn: (rỗng)</t>
  </si>
  <si>
    <t>Không có tin nhắn rỗng nào được gửi/hiển thị trong khung chat; nút Gửi có thể ở trạng thái disabled khi ô trống.</t>
  </si>
  <si>
    <t>TC_BOT_14</t>
  </si>
  <si>
    <t>Chatbot hiển thị đúng bố cục trên thiết bị di động</t>
  </si>
  <si>
    <t>Kiểm tra cửa sổ chatbot hiển thị hợp lý, không che khuất nội dung chính khi mở trên thiết bị di động.</t>
  </si>
  <si>
    <t>Mobile: Android 14 (Samsung/Pixel) &amp; iOS 17 - Safari/Chrome Mobile
URL: https://fandomverse.example.com/#home</t>
  </si>
  <si>
    <t>1. Mở trình duyệt mobile
2. Click icon chatbot để mở cửa sổ chat
3. Quan sát kích thước/vị trí cửa sổ chat trên màn hình nhỏ</t>
  </si>
  <si>
    <t>Cửa sổ chat mở chiếm phần hợp lý màn hình (có thể toàn màn hình trên mobile), có nút đóng dễ thao tác, không che hoàn toàn mất khả năng thao tác khác.</t>
  </si>
  <si>
    <t>TC_BOT_15</t>
  </si>
  <si>
    <t>Hiệu ứng đang gõ (typing indicator) hiển thị hợp lý</t>
  </si>
  <si>
    <t>Kiểm tra chatbot hiển thị hiệu ứng "đang gõ" (typing indicator) trong khoảng ngắn trước khi trả lời.</t>
  </si>
  <si>
    <t>1. Mở chatbot, gửi 1 câu hỏi bất kỳ
2. Quan sát khoảng thời gian giữa lúc gửi và lúc nhận câu trả lời</t>
  </si>
  <si>
    <t>1 câu hỏi bất kỳ</t>
  </si>
  <si>
    <t>Xuất hiện hiệu ứng typing indicator (3 chấm nhấp nháy) trong thời gian ngắn hợp lý trước khi câu trả lời hiển thị, tạo cảm giác tự nhiên.</t>
  </si>
  <si>
    <t>TC_BOT_16</t>
  </si>
  <si>
    <t>Khả năng tiếp cận bàn phím cho toàn bộ luồng chatbot</t>
  </si>
  <si>
    <t>Kiểm tra người dùng có thể mở chatbot, gõ và gửi tin nhắn hoàn toàn bằng bàn phím.</t>
  </si>
  <si>
    <t>1. Dùng phím Tab để focus tới icon chatbot, nhấn Enter để mở
2. Tab tới ô nhập tin nhắn, gõ nội dung
3. Nhấn Enter để gửi</t>
  </si>
  <si>
    <t>Nội dung: 1 câu hỏi bất kỳ</t>
  </si>
  <si>
    <t>Toàn bộ luồng mở chatbot, nhập và gửi tin nhắn thực hiện được đầy đủ chỉ bằng bàn phím, không cần dùng chuột.</t>
  </si>
  <si>
    <t>L. BOOKMARK &amp; GHI CHÚ  (14 test case)</t>
  </si>
  <si>
    <t>TC_BM_01</t>
  </si>
  <si>
    <t>Bookmark 1 nội dung từ nút Bookmark trên card</t>
  </si>
  <si>
    <t>Kiểm tra người dùng có thể bookmark 1 nội dung (bài viết/nhân vật/sự kiện) trực tiếp từ nút Bookmark trên card.</t>
  </si>
  <si>
    <t>Web: Chrome 125+, Firefox 126+, Safari 17+ / Windows 11 &amp; macOS
URL: https://fandomverse.example.com/#bookmarks</t>
  </si>
  <si>
    <t>1. Truy cập 1 Category Hub bất kỳ
2. Click icon Bookmark trên 1 card nội dung
3. Quan sát trạng thái icon thay đổi</t>
  </si>
  <si>
    <t>1 card nội dung bất kỳ</t>
  </si>
  <si>
    <t>Icon Bookmark chuyển trạng thái (VD: từ outline sang filled) ngay sau khi click, có thông báo xác nhận ngắn (toast).</t>
  </si>
  <si>
    <t>TC_BM_02</t>
  </si>
  <si>
    <t>Danh sách Bookmark hiển thị đúng các nội dung đã lưu</t>
  </si>
  <si>
    <t>Kiểm tra trang Bookmarks hiển thị đầy đủ, chính xác danh sách nội dung đã được bookmark.</t>
  </si>
  <si>
    <t>1. Bookmark 3 nội dung khác nhau thuộc các loại khác nhau (bài viết, nhân vật, sự kiện)
2. Truy cập trang Bookmarks
3. Đối chiếu danh sách hiển thị</t>
  </si>
  <si>
    <t>3 nội dung: 1 bài viết, 1 nhân vật, 1 sự kiện</t>
  </si>
  <si>
    <t>Trang Bookmarks hiển thị đầy đủ đúng 3 nội dung đã lưu, đúng thông tin từng mục.</t>
  </si>
  <si>
    <t>Happy path - chạy đầu tiên nhóm Bookmark.</t>
  </si>
  <si>
    <t>TC_BM_03</t>
  </si>
  <si>
    <t>Bỏ bookmark 1 nội dung, danh sách cập nhật ngay</t>
  </si>
  <si>
    <t>Kiểm tra chức năng un-bookmark loại bỏ đúng nội dung khỏi danh sách ngay lập tức.</t>
  </si>
  <si>
    <t>1. Từ trang Bookmarks có sẵn nội dung, click icon Bookmark (đã filled) trên 1 mục để bỏ lưu
2. Quan sát danh sách sau khi bỏ</t>
  </si>
  <si>
    <t>1 mục đã bookmark trước đó</t>
  </si>
  <si>
    <t>Mục đó biến mất khỏi danh sách Bookmarks ngay lập tức, không cần tải lại trang.</t>
  </si>
  <si>
    <t>TC_BM_04</t>
  </si>
  <si>
    <t>Dữ liệu Bookmark lưu trong LocalStorage, còn nguyên sau khi F5/đóng mở lại</t>
  </si>
  <si>
    <t>Kiểm tra dữ liệu Bookmark được lưu bền trong LocalStorage, không mất sau khi tải lại trang hoặc đóng mở lại trình duyệt.</t>
  </si>
  <si>
    <t>1. Bookmark 2 nội dung
2. Nhấn F5 tải lại trang, kiểm tra danh sách Bookmarks
3. Đóng hoàn toàn trình duyệt, mở lại và kiểm tra lần nữa</t>
  </si>
  <si>
    <t>2 nội dung đã bookmark</t>
  </si>
  <si>
    <t>Danh sách Bookmark giữ nguyên đầy đủ sau cả 2 lần kiểm tra (F5 và đóng mở lại trình duyệt).</t>
  </si>
  <si>
    <t>TC_BM_05</t>
  </si>
  <si>
    <t>Thêm ghi chú cá nhân vào 1 mục đã bookmark</t>
  </si>
  <si>
    <t>Kiểm tra người dùng có thể thêm ghi chú cá nhân (Personal Note) cho 1 mục đã bookmark.</t>
  </si>
  <si>
    <t>1. Truy cập trang Bookmarks, chọn 1 mục
2. Mở ô nhập ghi chú, nhập nội dung ghi chú
3. Lưu ghi chú</t>
  </si>
  <si>
    <t>Nội dung ghi chú: "Xem lại tập cuối vào cuối tuần"</t>
  </si>
  <si>
    <t>Ghi chú được lưu và hiển thị đúng ngay bên cạnh/bên dưới mục bookmark tương ứng.</t>
  </si>
  <si>
    <t>TC_BM_06</t>
  </si>
  <si>
    <t>Ghi chú cá nhân lưu trong SessionStorage, mất sau khi đóng hoàn toàn trình duyệt</t>
  </si>
  <si>
    <t>Kiểm tra ghi chú cá nhân chỉ tồn tại trong phiên hiện tại (SessionStorage), bị mất sau khi đóng hoàn toàn trình duyệt/tab, đúng yêu cầu SRS mục 1.6.12.</t>
  </si>
  <si>
    <t>1. Thêm 1 ghi chú cho 1 mục bookmark
2. Nhấn F5 tải lại trang, kiểm tra ghi chú còn không
3. Đóng hoàn toàn trình duyệt (tất cả tab), mở lại và kiểm tra ghi chú</t>
  </si>
  <si>
    <t>1 ghi chú đã thêm trước đó</t>
  </si>
  <si>
    <t>Ghi chú vẫn còn sau F5 (cùng phiên); ghi chú biến mất sau khi đóng hoàn toàn trình duyệt và mở lại (phiên mới), đúng đặc tính SessionStorage.</t>
  </si>
  <si>
    <t>Kiểm thử tuân thủ đúng cơ chế lưu trữ SessionStorage theo SRS.</t>
  </si>
  <si>
    <t>TC_BM_07</t>
  </si>
  <si>
    <t>Sửa nội dung ghi chú đã tạo trước đó</t>
  </si>
  <si>
    <t>Kiểm tra người dùng có thể chỉnh sửa lại nội dung ghi chú đã tạo cho 1 mục bookmark.</t>
  </si>
  <si>
    <t>1. Mở 1 mục bookmark đã có ghi chú
2. Nhấn Sửa/Edit ghi chú, thay đổi nội dung
3. Lưu lại</t>
  </si>
  <si>
    <t>Ghi chú cũ: "Xem lại tập cuối" -&gt; Ghi chú mới: "Đã xem xong, rất hay"</t>
  </si>
  <si>
    <t>Ghi chú hiển thị đúng nội dung mới sau khi lưu, không còn nội dung cũ.</t>
  </si>
  <si>
    <t>TC_BM_08</t>
  </si>
  <si>
    <t>Xóa ghi chú của 1 mục bookmark</t>
  </si>
  <si>
    <t>Kiểm tra chức năng xóa ghi chú hoạt động đúng, không ảnh hưởng tới trạng thái bookmark của mục đó.</t>
  </si>
  <si>
    <t>1. Mở 1 mục bookmark đã có ghi chú
2. Nhấn nút Xóa ghi chú
3. Quan sát trạng thái mục bookmark sau khi xóa ghi chú</t>
  </si>
  <si>
    <t>1 mục bookmark có ghi chú sẵn</t>
  </si>
  <si>
    <t>Ghi chú bị xóa hoàn toàn (ô ghi chú trống); mục bookmark vẫn còn nguyên trong danh sách, không bị xóa theo.</t>
  </si>
  <si>
    <t>TC_BM_09</t>
  </si>
  <si>
    <t>Xuất danh sách Bookmark ra file văn bản đúng định dạng</t>
  </si>
  <si>
    <t>Kiểm tra chức năng Export xuất đúng danh sách bookmark ra file văn bản với định dạng dễ đọc.</t>
  </si>
  <si>
    <t>1. Có sẵn từ 2 mục bookmark trở lên trên trang Bookmarks
2. Nhấn nút "Xuất danh sách" (Export)
3. Mở file văn bản vừa tải về, kiểm tra nội dung</t>
  </si>
  <si>
    <t>Danh sách có 2 mục bookmark trở lên</t>
  </si>
  <si>
    <t>File văn bản được tải về thành công, liệt kê đầy đủ, đúng thông tin các mục đã bookmark theo định dạng rõ ràng, dễ đọc.</t>
  </si>
  <si>
    <t>TC_BM_10</t>
  </si>
  <si>
    <t>Trạng thái Empty khi chưa có bookmark nào</t>
  </si>
  <si>
    <t>Kiểm tra trang Bookmarks hiển thị thông báo hợp lý khi người dùng chưa lưu bookmark nào.</t>
  </si>
  <si>
    <t>1. Đảm bảo chưa có bookmark nào (xóa hết nếu có)
2. Truy cập trang Bookmarks</t>
  </si>
  <si>
    <t>Danh sách bookmark trống</t>
  </si>
  <si>
    <t>Hiển thị thông báo/illustration "Bạn chưa lưu nội dung nào" kèm gợi ý khám phá nội dung.</t>
  </si>
  <si>
    <t>TC_BM_11</t>
  </si>
  <si>
    <t>Icon Bookmark đồng bộ trạng thái ở mọi nơi hiển thị cùng nội dung</t>
  </si>
  <si>
    <t>Kiểm tra icon Bookmark của cùng 1 nội dung hiển thị đồng bộ trạng thái (filled/outline) ở mọi vị trí xuất hiện trên giao diện.</t>
  </si>
  <si>
    <t>1. Bookmark 1 nội dung từ Category Hub
2. Mở trang chi tiết của chính nội dung đó, quan sát icon Bookmark
3. Mở lại Category Hub ban đầu, quan sát icon trên card</t>
  </si>
  <si>
    <t>1 nội dung bất kỳ</t>
  </si>
  <si>
    <t>Icon Bookmark hiển thị trạng thái filled (đã lưu) đồng bộ ở cả card danh sách và trang chi tiết.</t>
  </si>
  <si>
    <t>TC_BM_12</t>
  </si>
  <si>
    <t>Giới hạn độ dài ghi chú cá nhân</t>
  </si>
  <si>
    <t>Kiểm tra giới hạn độ dài ghi chú cá nhân (nếu có) và thông báo khi vượt giới hạn.</t>
  </si>
  <si>
    <t>1. Mở ô nhập ghi chú cho 1 mục bookmark
2. Nhập chuỗi ký tự dài vượt giới hạn giả định (VD: 1000 ký tự)
3. Thử lưu</t>
  </si>
  <si>
    <t>Nội dung ghi chú: chuỗi 1000 ký tự</t>
  </si>
  <si>
    <t>Giao diện chặn nhập vượt giới hạn (maxlength) hoặc hiển thị thông báo lỗi khi lưu vượt giới hạn, không lưu ghi chú quá dài gây vỡ layout.</t>
  </si>
  <si>
    <t>TC_BM_13</t>
  </si>
  <si>
    <t>Hiển thị an toàn khi nhập mã script vào ô ghi chú</t>
  </si>
  <si>
    <t>Kiểm tra ghi chú cá nhân hiển thị dưới dạng văn bản thuần, không thực thi mã khi nhập đoạn script.</t>
  </si>
  <si>
    <t>1. Mở ô nhập ghi chú cho 1 mục bookmark
2. Nhập đoạn mã script vào ô ghi chú và lưu
3. Quan sát ghi chú hiển thị lại</t>
  </si>
  <si>
    <t>Nội dung ghi chú: &lt;script&gt;alert('note')&lt;/script&gt;</t>
  </si>
  <si>
    <t>Ghi chú hiển thị dưới dạng văn bản thuần, không có popup/alert bất thường xuất hiện.</t>
  </si>
  <si>
    <t>TC_BM_14</t>
  </si>
  <si>
    <t>Trang Bookmarks &amp; Notes responsive đúng trên mobile</t>
  </si>
  <si>
    <t>Kiểm tra trang Bookmarks và thao tác thêm/sửa ghi chú hiển thị đúng, dễ thao tác trên thiết bị di động.</t>
  </si>
  <si>
    <t>Mobile: Android 14 (Samsung/Pixel) &amp; iOS 17 - Safari/Chrome Mobile
URL: https://fandomverse.example.com/#bookmarks</t>
  </si>
  <si>
    <t>1. Mở trình duyệt mobile, truy cập trang Bookmarks có sẵn dữ liệu
2. Thử thêm/sửa 1 ghi chú trên màn hình nhỏ</t>
  </si>
  <si>
    <t>Danh sách bookmark có sẵn dữ liệu, viewport 375px</t>
  </si>
  <si>
    <t>Danh sách và ô nhập ghi chú hiển thị gọn gàng, dễ thao tác bằng cảm ứng, không tràn ngang màn hình.</t>
  </si>
  <si>
    <t>M. TÍNH NĂNG BỔ SUNG (VISITOR COUNTER, CLOCK, BREADCRUMB, LOGIN GIẢ LẬP, TRANG TĨNH)  (16 test case)</t>
  </si>
  <si>
    <t>TC_MISC_01</t>
  </si>
  <si>
    <t>Visitor Counter hiển thị số liệu và tăng khi có lượt truy cập mới</t>
  </si>
  <si>
    <t>Kiểm tra bộ đếm lượt truy cập (Visitor Counter) hiển thị số liệu và tăng đúng khi mô phỏng lượt truy cập mới qua LocalStorage.</t>
  </si>
  <si>
    <t>1. Truy cập trang chủ, ghi nhận số liệu Visitor Counter hiện tại
2. Xóa dữ liệu phiên (session) và mở lại trang chủ như 1 lượt truy cập mới
3. So sánh số liệu trước và sau</t>
  </si>
  <si>
    <t>Số liệu Visitor Counter trước khi mô phỏng lượt truy cập mới</t>
  </si>
  <si>
    <t>Số liệu Visitor Counter tăng thêm đúng 1 đơn vị sau khi mô phỏng lượt truy cập mới.</t>
  </si>
  <si>
    <t>TC_MISC_02</t>
  </si>
  <si>
    <t>Visitor Counter không tăng khi F5 trong cùng phiên</t>
  </si>
  <si>
    <t>Kiểm tra Visitor Counter không tăng số liệu khi người dùng chỉ tải lại trang (F5) trong cùng 1 phiên, theo đúng thiết kế đếm 1 lần/phiên.</t>
  </si>
  <si>
    <t>1. Truy cập trang chủ, ghi nhận số liệu Visitor Counter
2. Nhấn F5 tải lại trang 3 lần liên tiếp
3. So sánh số liệu sau mỗi lần F5</t>
  </si>
  <si>
    <t>Số liệu Visitor Counter ban đầu</t>
  </si>
  <si>
    <t>Số liệu Visitor Counter không thay đổi qua 3 lần F5 trong cùng phiên làm việc.</t>
  </si>
  <si>
    <t>TC_MISC_03</t>
  </si>
  <si>
    <t>Đồng hồ thời gian thực hiển thị đúng và tự cập nhật</t>
  </si>
  <si>
    <t>Kiểm tra đồng hồ Real-Time Clock hiển thị đúng ngày giờ hiện tại và tự động cập nhật theo từng giây.</t>
  </si>
  <si>
    <t>1. Truy cập trang chủ, quan sát khu vực hiển thị đồng hồ
2. Đối chiếu với đồng hồ hệ thống máy tính
3. Quan sát liên tục trong 10 giây để xác nhận đồng hồ tự cập nhật</t>
  </si>
  <si>
    <t>Đồng hồ hệ thống máy tính hiện tại làm mốc đối chiếu</t>
  </si>
  <si>
    <t>Đồng hồ trên giao diện khớp với thời gian hệ thống (sai số nhỏ), tự động cập nhật đều đặn theo từng giây không bị đứng lại.</t>
  </si>
  <si>
    <t>TC_MISC_04</t>
  </si>
  <si>
    <t>Breadcrumb hiển thị đúng đường dẫn động qua nhiều cấp trang</t>
  </si>
  <si>
    <t>Kiểm tra breadcrumb cập nhật đúng khi điều hướng qua nhiều cấp trang khác nhau.</t>
  </si>
  <si>
    <t>1. Từ trang chủ, vào Category Hub "Movies"
2. Tiếp tục click vào 1 bài viết cụ thể
3. Quan sát breadcrumb ở mỗi bước điều hướng</t>
  </si>
  <si>
    <t>Trang chủ &gt; Movies &gt; [Bài viết cụ thể]</t>
  </si>
  <si>
    <t>Breadcrumb cập nhật đúng ở mỗi bước, phản ánh chính xác đường dẫn hiện tại (VD: Trang chủ &gt; Movies &gt; Tên bài viết).</t>
  </si>
  <si>
    <t>TC_MISC_05</t>
  </si>
  <si>
    <t>Click từng mắt xích breadcrumb điều hướng đúng về trang cấp trên</t>
  </si>
  <si>
    <t>Kiểm tra click vào từng mắt xích breadcrumb điều hướng đúng về đúng trang cấp trên tương ứng.</t>
  </si>
  <si>
    <t>1. Điều hướng tới 1 trang chi tiết (breadcrumb có 3 cấp)
2. Click vào mắt xích cấp giữa (VD: "Movies")
3. Quan sát trang được điều hướng tới</t>
  </si>
  <si>
    <t>Breadcrumb 3 cấp: Trang chủ &gt; Movies &gt; [Chi tiết]</t>
  </si>
  <si>
    <t>Click vào mắt xích "Movies" điều hướng đúng về Category Hub "Movies", không nhảy nhầm trang.</t>
  </si>
  <si>
    <t>TC_MISC_06</t>
  </si>
  <si>
    <t>Nút Đăng nhập/Đăng ký giả lập hiển thị đúng giao diện form</t>
  </si>
  <si>
    <t>Kiểm tra nút Dummy Login/Signup hiển thị đúng giao diện form khi được bấm vào.</t>
  </si>
  <si>
    <t>1. Truy cập trang chủ
2. Click nút "Đăng nhập" (Dummy)
3. Quan sát form/modal hiển thị
4. Đóng lại, click nút "Đăng ký" (Dummy) và quan sát</t>
  </si>
  <si>
    <t>Cả 2 nút hiển thị đúng form/modal tương ứng (Đăng nhập, Đăng ký) với các trường nhập cơ bản, giao diện không bị lỗi.</t>
  </si>
  <si>
    <t>TC_MISC_07</t>
  </si>
  <si>
    <t>Dummy Login submit form không gây lỗi giao diện</t>
  </si>
  <si>
    <t>Kiểm tra khi submit form Dummy Login/Signup, giao diện xử lý hợp lý dù không có backend xác thực thực tế.</t>
  </si>
  <si>
    <t>1. Mở form Dummy Login
2. Nhập thông tin bất kỳ vào các trường
3. Nhấn nút Submit/Đăng nhập</t>
  </si>
  <si>
    <t>Thông tin bất kỳ: email test@example.com, mật khẩu bất kỳ</t>
  </si>
  <si>
    <t>Giao diện phản hồi hợp lý theo thiết kế đã định (VD: thông báo demo/hiển thị trạng thái đăng nhập giả lập), không phát sinh lỗi console nghiêm trọng hoặc trang trắng.</t>
  </si>
  <si>
    <t>TC_MISC_08</t>
  </si>
  <si>
    <t>Trang Liên hệ hiển thị đúng bản đồ Google Maps và thông tin GPS</t>
  </si>
  <si>
    <t>Kiểm tra trang Contact Us hiển thị đúng bản đồ Google Maps nhúng cùng thông tin GPS.</t>
  </si>
  <si>
    <t>1. Truy cập trang "Liên hệ" (Contact Us) từ footer
2. Quan sát khu vực bản đồ nhúng</t>
  </si>
  <si>
    <t>Bản đồ Google Maps hiển thị đúng vị trí đã cấu hình, có thể tương tác zoom/kéo bản đồ cơ bản, thông tin GPS/địa chỉ hiển thị kèm theo.</t>
  </si>
  <si>
    <t>TC_MISC_09</t>
  </si>
  <si>
    <t>Trang Liên hệ hiển thị đầy đủ thông tin và validate form cơ bản</t>
  </si>
  <si>
    <t>Kiểm tra trang Contact Us hiển thị đầy đủ thông tin liên hệ và form liên hệ (nếu có) validate các trường bắt buộc.</t>
  </si>
  <si>
    <t>1. Truy cập trang Liên hệ
2. Kiểm tra hiển thị địa chỉ, email, số điện thoại
3. Nếu có form liên hệ, để trống các trường bắt buộc và nhấn Gửi</t>
  </si>
  <si>
    <t>Form liên hệ để trống toàn bộ trường bắt buộc</t>
  </si>
  <si>
    <t>Thông tin liên hệ hiển thị đầy đủ, chính xác; form liên hệ (nếu có) báo lỗi rõ ràng khi để trống trường bắt buộc, không cho gửi.</t>
  </si>
  <si>
    <t>TC_MISC_10</t>
  </si>
  <si>
    <t>Trang Giới thiệu hiển thị đầy đủ nội dung, hình ảnh không vỡ layout</t>
  </si>
  <si>
    <t>Kiểm tra trang About Us hiển thị đầy đủ nội dung giới thiệu và hình ảnh minh họa không bị vỡ layout.</t>
  </si>
  <si>
    <t>1. Truy cập trang "Giới thiệu" (About Us) từ footer
2. Cuộn đọc toàn bộ nội dung trang</t>
  </si>
  <si>
    <t>Nội dung văn bản và hình ảnh hiển thị đầy đủ, đúng bố cục thiết kế, không có phần tử bị vỡ/chồng lấp.</t>
  </si>
  <si>
    <t>TC_MISC_11</t>
  </si>
  <si>
    <t>Visitor Counter/Clock không gây lỗi hiệu năng khi mở lâu</t>
  </si>
  <si>
    <t>Kiểm tra Visitor Counter và Real-Time Clock không gây rò rỉ bộ nhớ/giảm hiệu năng khi trang được mở liên tục trong thời gian dài.</t>
  </si>
  <si>
    <t>1. Mở trang chủ và để nguyên không thao tác trong 15 phút
2. Theo dõi mức sử dụng bộ nhớ (Memory) qua DevTools &gt; Performance/Task Manager
3. Quan sát đồng hồ và Visitor Counter vẫn hoạt động bình thường sau 15 phút</t>
  </si>
  <si>
    <t>Thời gian theo dõi: 15 phút liên tục</t>
  </si>
  <si>
    <t>Mức sử dụng bộ nhớ không tăng bất thường theo thời gian; đồng hồ và Visitor Counter vẫn hoạt động chính xác sau 15 phút.</t>
  </si>
  <si>
    <t>Kiểm thử rò rỉ bộ nhớ (memory leak) cơ bản phía client.</t>
  </si>
  <si>
    <t>TC_MISC_12</t>
  </si>
  <si>
    <t>Breadcrumb hiển thị đúng trên thiết bị di động</t>
  </si>
  <si>
    <t>Kiểm tra breadcrumb hiển thị hợp lý, không tràn dòng trên màn hình di động, có thể cuộn ngang nếu cần.</t>
  </si>
  <si>
    <t>Mobile: Android 14 (Samsung/Pixel) &amp; iOS 17 - Safari/Chrome Mobile
URL: https://fandomverse.example.com/#movies</t>
  </si>
  <si>
    <t>1. Mở trình duyệt mobile, điều hướng tới 1 trang có breadcrumb nhiều cấp
2. Quan sát cách breadcrumb hiển thị trên màn hình nhỏ</t>
  </si>
  <si>
    <t>Breadcrumb 3 cấp trở lên, viewport 375px</t>
  </si>
  <si>
    <t>Breadcrumb hiển thị gọn gàng, có thể cuộn ngang nếu vượt quá chiều rộng màn hình, không làm vỡ layout tổng thể.</t>
  </si>
  <si>
    <t>TC_MISC_13</t>
  </si>
  <si>
    <t>Nút Đăng nhập/Đăng ký giả lập không gọi API xác thực thực tế</t>
  </si>
  <si>
    <t>Kiểm tra nút Dummy Login/Signup không phát sinh bất kỳ request API xác thực thực tế nào, đúng ràng buộc No-backend của SRS.</t>
  </si>
  <si>
    <t>1. Mở DevTools &gt; Network
2. Thao tác đăng nhập/đăng ký giả lập với thông tin bất kỳ
3. Quan sát danh sách request phát sinh</t>
  </si>
  <si>
    <t>Thông tin bất kỳ nhập vào form Dummy Login</t>
  </si>
  <si>
    <t>Không có request nào gửi tới API xác thực thực tế (endpoint /login, /auth...); toàn bộ xử lý diễn ra phía client.</t>
  </si>
  <si>
    <t>Kiểm thử tuân thủ ràng buộc No-backend của SRS.</t>
  </si>
  <si>
    <t>TC_MISC_14</t>
  </si>
  <si>
    <t>Footer hiển thị đầy đủ liên kết tới các trang tĩnh trên mọi trang</t>
  </si>
  <si>
    <t>Kiểm tra footer chứa liên kết Contact Us và About Us hiển thị nhất quán trên toàn bộ các trang.</t>
  </si>
  <si>
    <t>1. Truy cập lần lượt 3 trang khác nhau (Trang chủ, 1 Category Hub, trang Merchandise)
2. Cuộn xuống footer ở mỗi trang, kiểm tra liên kết</t>
  </si>
  <si>
    <t>Footer với liên kết Contact Us và About Us hiển thị nhất quán và hoạt động đúng ở cả 3 trang.</t>
  </si>
  <si>
    <t>TC_MISC_15</t>
  </si>
  <si>
    <t>Đồng hồ Real-Time Clock hiển thị đúng múi giờ trình duyệt</t>
  </si>
  <si>
    <t>Kiểm tra đồng hồ hiển thị đúng theo múi giờ địa phương của trình duyệt/thiết bị người dùng.</t>
  </si>
  <si>
    <t>1. Kiểm tra múi giờ hệ thống máy tính đang test
2. Truy cập trang chủ, đối chiếu giờ hiển thị trên đồng hồ giao diện với múi giờ hệ thống</t>
  </si>
  <si>
    <t>Múi giờ hệ thống máy test (VD: GMT+7)</t>
  </si>
  <si>
    <t>Giờ hiển thị trên đồng hồ giao diện khớp đúng với múi giờ hệ thống của thiết bị đang test.</t>
  </si>
  <si>
    <t>TC_MISC_16</t>
  </si>
  <si>
    <t>Các trang tĩnh và tính năng bổ sung nhất quán giao diện với hệ thống</t>
  </si>
  <si>
    <t>Kiểm tra font chữ, màu sắc, khoảng cách của các trang tĩnh (Contact/About) và tính năng bổ sung nhất quán với toàn bộ hệ thống.</t>
  </si>
  <si>
    <t>1. Truy cập trang Contact Us và About Us
2. Đối chiếu font chữ, bảng màu, kiểu nút bấm với trang chủ và Category Hub</t>
  </si>
  <si>
    <t>Trang Contact Us, About Us đối chiếu với Trang chủ</t>
  </si>
  <si>
    <t>Font chữ, màu sắc chủ đạo, kiểu dáng nút/thành phần UI nhất quán giữa các trang tĩnh và phần còn lại của hệ thống.</t>
  </si>
  <si>
    <t>N. TƯƠNG THÍCH, HIỆU NĂNG &amp; KHẢ NĂNG TIẾP CẬN  (17 test case)</t>
  </si>
  <si>
    <t>TC_QA_01</t>
  </si>
  <si>
    <t>Ứng dụng hoạt động đúng trên Chrome phiên bản mới nhất</t>
  </si>
  <si>
    <t>Kiểm tra toàn bộ luồng chính của ứng dụng (điều hướng, filter, giỏ hàng, chatbot) hoạt động đúng trên Chrome.</t>
  </si>
  <si>
    <t>1. Mở Chrome phiên bản mới nhất
2. Thực hiện lần lượt: xem trang chủ, vào 1 Category Hub, thêm sản phẩm vào giỏ, mở chatbot
3. Ghi nhận lỗi hiển thị/chức năng (nếu có)</t>
  </si>
  <si>
    <t>Trình duyệt: Chrome 125+</t>
  </si>
  <si>
    <t>Toàn bộ luồng thao tác chính hiển thị và hoạt động đúng, không có lỗi giao diện/chức năng trên Chrome.</t>
  </si>
  <si>
    <t>TC_QA_02</t>
  </si>
  <si>
    <t>Ứng dụng hoạt động đúng trên Firefox phiên bản mới nhất</t>
  </si>
  <si>
    <t>Kiểm tra toàn bộ luồng chính của ứng dụng hoạt động đúng trên Firefox.</t>
  </si>
  <si>
    <t>1. Mở Firefox phiên bản mới nhất
2. Lặp lại các thao tác chính tương tự TC trên Chrome
3. Ghi nhận lỗi hiển thị/chức năng (nếu có)</t>
  </si>
  <si>
    <t>Trình duyệt: Firefox 126+</t>
  </si>
  <si>
    <t>Toàn bộ luồng thao tác chính hiển thị và hoạt động đúng, không có lỗi giao diện/chức năng trên Firefox.</t>
  </si>
  <si>
    <t>TC_QA_03</t>
  </si>
  <si>
    <t>Ứng dụng hoạt động đúng trên Safari phiên bản mới nhất</t>
  </si>
  <si>
    <t>Kiểm tra toàn bộ luồng chính của ứng dụng hoạt động đúng trên Safari.</t>
  </si>
  <si>
    <t>1. Mở Safari phiên bản mới nhất trên macOS
2. Lặp lại các thao tác chính tương tự TC trên Chrome
3. Ghi nhận lỗi hiển thị/chức năng (nếu có)</t>
  </si>
  <si>
    <t>Trình duyệt: Safari 17+</t>
  </si>
  <si>
    <t>Toàn bộ luồng thao tác chính hiển thị và hoạt động đúng, không có lỗi giao diện/chức năng trên Safari.</t>
  </si>
  <si>
    <t>TC_QA_04</t>
  </si>
  <si>
    <t>Ứng dụng hiển thị đúng trên độ phân giải Desktop lớn</t>
  </si>
  <si>
    <t>Kiểm tra layout tổng thể không bị dàn trải bất hợp lý trên màn hình Desktop lớn.</t>
  </si>
  <si>
    <t>1. Mở trình duyệt ở độ phân giải 1920x1080
2. Duyệt qua trang chủ, Category Hub, trang chi tiết</t>
  </si>
  <si>
    <t>Độ phân giải: 1920x1080</t>
  </si>
  <si>
    <t>Nội dung căn giữa hợp lý (không dàn trải hết chiều rộng gây khó đọc), khoảng trắng 2 bên cân đối, không có phần tử bị lệch.</t>
  </si>
  <si>
    <t>TC_QA_05</t>
  </si>
  <si>
    <t>Ứng dụng hiển thị đúng trên độ phân giải Tablet</t>
  </si>
  <si>
    <t>Kiểm tra layout chuyển đổi hợp lý khi xem trên độ phân giải Tablet.</t>
  </si>
  <si>
    <t>1. Thu nhỏ viewport về 768px (iPad)
2. Duyệt qua trang chủ, Category Hub, giỏ hàng</t>
  </si>
  <si>
    <t>Độ phân giải: 768px</t>
  </si>
  <si>
    <t>Layout tự động điều chỉnh số cột lưới hợp lý cho Tablet, không tràn ngang, các nút đủ lớn để thao tác cảm ứng.</t>
  </si>
  <si>
    <t>TC_QA_06</t>
  </si>
  <si>
    <t>Ứng dụng hiển thị đúng trên độ phân giải Mobile nhỏ</t>
  </si>
  <si>
    <t>Kiểm tra layout hiển thị đúng trên màn hình mobile nhỏ (iPhone SE 375px).</t>
  </si>
  <si>
    <t>1. Thu nhỏ viewport về 375px
2. Duyệt qua toàn bộ các trang chính của ứng dụng</t>
  </si>
  <si>
    <t>Độ phân giải: 375px (iPhone SE)</t>
  </si>
  <si>
    <t>Toàn bộ nội dung hiển thị vừa khung, không tràn ngang, chữ đủ lớn để đọc mà không cần zoom.</t>
  </si>
  <si>
    <t>TC_QA_07</t>
  </si>
  <si>
    <t>Độ tương phản màu sắc văn bản đạt chuẩn WCAG AA cơ bản</t>
  </si>
  <si>
    <t>Kiểm tra độ tương phản (contrast ratio) giữa màu chữ và màu nền đạt ngưỡng cơ bản theo WCAG AA.</t>
  </si>
  <si>
    <t>1. Dùng công cụ kiểm tra contrast (VD: DevTools Accessibility pane hoặc extension kiểm tra contrast)
2. Kiểm tra 5 vị trí văn bản quan trọng: tiêu đề, mô tả card, nút CTA, breadcrumb, footer</t>
  </si>
  <si>
    <t>5 vị trí văn bản quan trọng trên giao diện</t>
  </si>
  <si>
    <t>Toàn bộ 5 vị trí đạt tỷ lệ tương phản tối thiểu theo WCAG AA (4.5:1 với văn bản thường, 3:1 với văn bản lớn).</t>
  </si>
  <si>
    <t>TC_QA_08</t>
  </si>
  <si>
    <t>Toàn bộ hình ảnh có thuộc tính alt text mô tả hợp lý</t>
  </si>
  <si>
    <t>Kiểm tra ảnh trên các trang chính có thuộc tính alt mô tả nội dung, hỗ trợ trình đọc màn hình.</t>
  </si>
  <si>
    <t>1. Dùng DevTools kiểm tra thuộc tính alt của ảnh trên trang chủ, Category Hub, Merchandise
2. Ghi nhận số lượng ảnh thiếu alt hoặc alt rỗng</t>
  </si>
  <si>
    <t>Ảnh trên 3 trang: Trang chủ, Category Hub, Merchandise</t>
  </si>
  <si>
    <t>Toàn bộ ảnh nội dung có thuộc tính alt mô tả hợp lý, không để trống hoặc alt vô nghĩa (VD: "image1.jpg").</t>
  </si>
  <si>
    <t>TC_QA_09</t>
  </si>
  <si>
    <t>Điều hướng toàn bộ ứng dụng bằng phím Tab đúng thứ tự logic</t>
  </si>
  <si>
    <t>Kiểm tra thứ tự Tab qua các phần tử tương tác trên trang chủ đi theo thứ tự logic, có viền focus rõ ràng.</t>
  </si>
  <si>
    <t>1. Truy cập trang chủ, click vào vùng nội dung để focus
2. Nhấn Tab liên tục và ghi nhận thứ tự các phần tử được focus</t>
  </si>
  <si>
    <t>Trang chủ FandomVerse</t>
  </si>
  <si>
    <t>Thứ tự Tab đi từ trên xuống dưới, trái sang phải theo đúng luồng thị giác; mỗi phần tử có viền focus rõ ràng, không có phần tử nào bị bỏ qua hoặc lặp bất thường.</t>
  </si>
  <si>
    <t>TC_QA_10</t>
  </si>
  <si>
    <t>Ứng dụng sử dụng được với trình đọc màn hình cho luồng chính</t>
  </si>
  <si>
    <t>Kiểm tra luồng điều hướng chính (mở danh mục, mở bài viết) có thể sử dụng được với trình đọc màn hình cơ bản.</t>
  </si>
  <si>
    <t>1. Bật trình đọc màn hình (VoiceOver trên macOS hoặc NVDA trên Windows)
2. Điều hướng qua trang chủ, mở 1 Category Hub, mở 1 bài viết chỉ bằng bàn phím + trình đọc màn hình</t>
  </si>
  <si>
    <t>Trình đọc màn hình: VoiceOver/NVDA</t>
  </si>
  <si>
    <t>Trình đọc màn hình đọc đúng nội dung/label của các phần tử quan trọng, người dùng có thể hoàn thành luồng điều hướng chính mà không cần nhìn màn hình.</t>
  </si>
  <si>
    <t>Kiểm thử khả năng tiếp cận (Accessibility/A11y) cơ bản.</t>
  </si>
  <si>
    <t>TC_QA_11</t>
  </si>
  <si>
    <t>Đo điểm Lighthouse cho Performance/Accessibility/SEO</t>
  </si>
  <si>
    <t>Kiểm tra điểm số Google Lighthouse của trang chủ đạt ngưỡng yêu cầu dự án cho Performance, Accessibility, SEO.</t>
  </si>
  <si>
    <t>1. Mở DevTools &gt; Lighthouse trên Chrome
2. Chạy audit cho trang chủ ở chế độ Desktop và Mobile
3. Ghi nhận điểm số 3 hạng mục: Performance, Accessibility, SEO</t>
  </si>
  <si>
    <t>Trang chủ, chế độ Desktop và Mobile</t>
  </si>
  <si>
    <t>Điểm số 3 hạng mục đạt ngưỡng tối thiểu đã thống nhất với dự án (VD: &gt;= 80/100 mỗi hạng mục), không có cảnh báo nghiêm trọng (critical issues).</t>
  </si>
  <si>
    <t>Yêu cầu bắt buộc theo SRS mục 1.9.5 - Quality Assessment.</t>
  </si>
  <si>
    <t>TC_QA_12</t>
  </si>
  <si>
    <t>Thời gian tải First Contentful Paint trong ngưỡng chấp nhận được</t>
  </si>
  <si>
    <t>Kiểm tra thời gian hiển thị nội dung đầu tiên (FCP) của trang chủ trong ngưỡng chấp nhận được khi mô phỏng mạng 4G.</t>
  </si>
  <si>
    <t>1. DevTools &gt; Network &gt; Throttling "Fast 3G"/"4G"
2. Tải lại trang chủ, đo thời gian FCP qua tab Performance/Lighthouse</t>
  </si>
  <si>
    <t>Điều kiện mạng: 4G mô phỏng</t>
  </si>
  <si>
    <t>Thời gian FCP nằm trong ngưỡng chấp nhận được đã thống nhất với dự án (VD: dưới 3 giây), không cao bất thường.</t>
  </si>
  <si>
    <t>TC_QA_13</t>
  </si>
  <si>
    <t>Ứng dụng ổn định khi mở đồng thời nhiều tab/client giả lập</t>
  </si>
  <si>
    <t>Kiểm tra ứng dụng hoạt động ổn định khi mở đồng thời nhiều tab trình duyệt giả lập nhiều người dùng cùng lúc.</t>
  </si>
  <si>
    <t>1. Mở đồng thời 5 tab trình duyệt cùng truy cập ứng dụng
2. Ở mỗi tab, thực hiện thao tác khác nhau (duyệt danh mục, thêm giỏ hàng, mở chatbot)
3. Quan sát hiệu năng tổng thể của máy/trình duyệt</t>
  </si>
  <si>
    <t>5 tab trình duyệt mở đồng thời</t>
  </si>
  <si>
    <t>Ứng dụng phản hồi ổn định ở cả 5 tab, không có tab nào bị treo/crash, hiệu năng không suy giảm nghiêm trọng.</t>
  </si>
  <si>
    <t>Kiểm thử Capacity phía client theo SRS mục 1.7.</t>
  </si>
  <si>
    <t>TC_QA_14</t>
  </si>
  <si>
    <t>Không phát sinh lỗi console nghiêm trọng trong luồng chính</t>
  </si>
  <si>
    <t>Kiểm tra không có lỗi JavaScript nghiêm trọng xuất hiện trong console khi thực hiện đầy đủ các luồng thao tác chính.</t>
  </si>
  <si>
    <t>1. Mở DevTools &gt; Console
2. Thực hiện lần lượt: xem trang chủ, lọc/sắp xếp Category Hub, thêm giỏ hàng, mở chatbot, bookmark nội dung
3. Quan sát console trong suốt quá trình</t>
  </si>
  <si>
    <t>Toàn bộ luồng thao tác chính của ứng dụng</t>
  </si>
  <si>
    <t>Không xuất hiện lỗi (error) màu đỏ nghiêm trọng trong console ở bất kỳ bước nào; cảnh báo (warning) nếu có không ảnh hưởng chức năng.</t>
  </si>
  <si>
    <t>TC_QA_15</t>
  </si>
  <si>
    <t>Ứng dụng không tải/thực thi file lạ ngoài ý muốn người dùng</t>
  </si>
  <si>
    <t>Kiểm tra ứng dụng không tự động tải xuống hoặc thực thi bất kỳ file nào mà không có hành động rõ ràng của người dùng.</t>
  </si>
  <si>
    <t>1. Truy cập và duyệt qua toàn bộ các trang chính trong 5 phút
2. Quan sát thư mục Downloads của trình duyệt và các cảnh báo bảo mật (nếu có)</t>
  </si>
  <si>
    <t>5 phút duyệt web bình thường</t>
  </si>
  <si>
    <t>Không có file nào được tự động tải xuống hoặc thực thi mà không có thao tác chủ động của người dùng (VD: nhấn nút Export).</t>
  </si>
  <si>
    <t>Kiểm thử yêu cầu Safety theo SRS mục 1.7.</t>
  </si>
  <si>
    <t>TC_QA_16</t>
  </si>
  <si>
    <t>Ứng dụng ổn định khi được mở liên tục ngoài giờ hành chính (mô phỏng 24/7)</t>
  </si>
  <si>
    <t>Kiểm tra ứng dụng hoạt động ổn định khi truy cập vào các khung giờ khác nhau, mô phỏng yêu cầu khả dụng 24/7 phía client.</t>
  </si>
  <si>
    <t>1. Truy cập ứng dụng vào các khung giờ khác nhau trong ngày (sáng sớm, trưa, tối muộn) nếu có thể lên lịch kiểm thử
2. Ở mỗi lần truy cập, kiểm tra ứng dụng tải và hoạt động bình thường</t>
  </si>
  <si>
    <t>Truy cập tại nhiều khung giờ khác nhau trong ngày</t>
  </si>
  <si>
    <t>Ứng dụng tải và hoạt động ổn định ở mọi khung giờ đã kiểm tra, không có sự khác biệt về chức năng (do kiến trúc client-side, không phụ thuộc giờ hoạt động server).</t>
  </si>
  <si>
    <t>TC_QA_17</t>
  </si>
  <si>
    <t>Layout không vỡ nghiêm trọng khi zoom trình duyệt 50%-200%</t>
  </si>
  <si>
    <t>Kiểm tra layout tổng thể vẫn sử dụng được khi người dùng phóng to/thu nhỏ trình duyệt ở các mức zoom khác nhau.</t>
  </si>
  <si>
    <t>1. Truy cập trang chủ, đặt mức zoom trình duyệt 50%
2. Quan sát layout, sau đó tăng dần lên 100%, 150%, 200%
3. Ghi nhận các vị trí bị vỡ layout nghiêm trọng (nếu có)</t>
  </si>
  <si>
    <t>Mức zoom: 50%, 100%, 150%, 200%</t>
  </si>
  <si>
    <t>Ở các mức zoom hợp lý (75%-150%), layout không bị vỡ nghiêm trọng; ở mức zoom cực đoan (50%, 200%) nội dung vẫn đọc được, không mất khả năng thao tác các chức năng chính.</t>
  </si>
  <si>
    <t>TỔNG HỢP KẾT QUẢ KIỂM THỬ GIAO DIỆN - FANDOMVERSE</t>
  </si>
  <si>
    <t>Chỉ số</t>
  </si>
  <si>
    <t>Số lượng</t>
  </si>
  <si>
    <t>Tổng số Test Case</t>
  </si>
  <si>
    <t>Số lượng Pass</t>
  </si>
  <si>
    <t>Số lượng Fail</t>
  </si>
  <si>
    <t>Số lượng Blocked</t>
  </si>
  <si>
    <t>Số lượng Untested</t>
  </si>
  <si>
    <t>Ngày cập nhật</t>
  </si>
  <si>
    <t>23/09/2026</t>
  </si>
  <si>
    <t>Phân bổ theo module</t>
  </si>
  <si>
    <t>Module</t>
  </si>
  <si>
    <t>Số lượng TC</t>
  </si>
  <si>
    <t>A. TRANG CHỦ (HOME PAGE)</t>
  </si>
  <si>
    <t>B. DANH MỤC FANDOM (CATEGORY HUB)</t>
  </si>
  <si>
    <t>C. TÌM KIẾM TOÀN CỤC (GLOBAL SEARCH)</t>
  </si>
  <si>
    <t>D. THƯ VIỆN ẢNH (IMAGE GALLERY / LIGHTBOX)</t>
  </si>
  <si>
    <t>E. VIDEO &amp; AUDIO</t>
  </si>
  <si>
    <t>F. BÀI VIẾT NỔI BẬT (FEATURED ARTICLES)</t>
  </si>
  <si>
    <t>G. HỒ SƠ NHÂN VẬT (CHARACTER PROFILES)</t>
  </si>
  <si>
    <t>H. SỰ KIỆN (EVENT HIGHLIGHTS)</t>
  </si>
  <si>
    <t>I. TRAILER</t>
  </si>
  <si>
    <t>J. MERCHANDISE &amp; GIỎ HÀNG</t>
  </si>
  <si>
    <t>K. CHATBOT AI</t>
  </si>
  <si>
    <t>L. BOOKMARK &amp; GHI CHÚ</t>
  </si>
  <si>
    <t>M. TÍNH NĂNG BỔ SUNG (VISITOR COUNTER, CLOCK, BREADCRUMB, LOGIN GIẢ LẬP, TRANG TĨNH)</t>
  </si>
  <si>
    <t>N. TƯƠNG THÍCH, HIỆU NĂNG &amp; KHẢ NĂNG TIẾP CẬN</t>
  </si>
  <si>
    <t>Phân bổ theo Mức độ ưu tiên</t>
  </si>
  <si>
    <t>Mức độ</t>
  </si>
  <si>
    <t>HƯỚNG DẪN SỬ DỤNG FILE TEST CASE GIAO DIỆN (UI) - DỰ ÁN FANDOMVERSE</t>
  </si>
  <si>
    <t>0. Phạm vi của bộ test case này:</t>
  </si>
  <si>
    <t>- Toàn bộ test case trong file chỉ kiểm thử qua GIAO DIỆN (trình duyệt web / trình duyệt di động), theo đúng kiến trúc FandomVerse là Single Page Application (SPA) client-side, không có backend/database.</t>
  </si>
  <si>
    <t>- KHÔNG bao gồm: kiểm thử mã nguồn JavaScript chi tiết (unit test), kiểm tra tính đúng đắn của dữ liệu JSON tĩnh ở mức nội dung biên tập, hay các công cụ ngoài trình duyệt/thiết bị thật.</t>
  </si>
  <si>
    <t>- File JSON tĩnh (contents.json, characters.json, events.json, trailers.json, merchandise.json, chatbot_faq.json) được xem là dữ liệu đầu vào có sẵn; một số test case yêu cầu chuẩn bị bản ghi test riêng trên môi trường Staging (được ghi rõ trong cột Ghi chú).</t>
  </si>
  <si>
    <t>1. Cấu trúc file gồm 3 sheet:</t>
  </si>
  <si>
    <t>- Test Cases: 200 test case chi tiết, chia theo 14 nhóm chức năng bám sát SRS FandomVerse v2.0 (Trang chủ, Category Hub, Tìm kiếm, Gallery, Video/Audio, Bài viết, Nhân vật, Sự kiện, Trailer, Merchandise/Giỏ hàng, Chatbot AI, Bookmark/Ghi chú, Tính năng bổ sung, Tương thích-Hiệu năng-Tiếp cận).</t>
  </si>
  <si>
    <t>- Tổng hợp: Thống kê nhanh số lượng Pass/Fail/Blocked/Untested và phân bổ theo module, mức độ ưu tiên (tự động tính bằng công thức).</t>
  </si>
  <si>
    <t>- Hướng dẫn: Trang mô tả cách sử dụng file này.</t>
  </si>
  <si>
    <t>2. Giải thích các cột trong sheet Test Cases:</t>
  </si>
  <si>
    <t>- STT: Số thứ tự của test case trong từng nhóm chức năng.</t>
  </si>
  <si>
    <t>- ID/Mã kiểm thử: Mã định danh duy nhất theo quy tắc TC_&lt;Module&gt;_&lt;Số&gt; (VD: TC_HOME_01, TC_CAT_01, TC_MERCH_01).</t>
  </si>
  <si>
    <t>- Tên kiểm thử: Tóm tắt ngắn gọn mục tiêu của test case.</t>
  </si>
  <si>
    <t>- Mô tả kiểm thử: Giải thích chi tiết test case đang kiểm tra điều gì và tại sao cần test.</t>
  </si>
  <si>
    <t>- Môi trường kiểm thử: Trình duyệt/thiết bị và URL màn hình được test (chỉ giao diện).</t>
  </si>
  <si>
    <t>- Các bước thực hiện: Các bước thao tác chi tiết, tuần tự trên giao diện để thực thi test case.</t>
  </si>
  <si>
    <t>- Dữ liệu để kiểm thử: Dữ liệu đầu vào cụ thể, có thể gồm nhiều biến thể/case con (data-driven) dùng khi test.</t>
  </si>
  <si>
    <t>- Kết quả mong đợi: Kết quả giao diện phải hiển thị nếu hoạt động đúng, viết dạng gạch đầu dòng cho từng tiêu chí.</t>
  </si>
  <si>
    <t>- Kết quả thực tế: Điền vào SAU khi thực thi test, ghi lại kết quả thực tế quan sát được.</t>
  </si>
  <si>
    <t>- Đánh giá: Chọn 1 trong 4 giá trị từ dropdown: Pass / Fail / Blocked / Untested.</t>
  </si>
  <si>
    <t>- Mức độ ưu tiên: Chọn 1 trong 3 giá trị từ dropdown: Critical / Major / Minor.</t>
  </si>
  <si>
    <t>- Người thực hiện: Tên Tester thực thi test case.</t>
  </si>
  <si>
    <t>- Ngày thực hiện: Ngày thực thi test case (định dạng dd/mm/yyyy).</t>
  </si>
  <si>
    <t>- Ghi chú: Thông tin bổ sung, link bug, điều kiện đặc biệt, lưu ý cần xác nhận thêm với BA/Dev (VD: tính năng chỉ áp dụng nếu hệ thống có triển khai).</t>
  </si>
  <si>
    <t>3. Quy ước Đánh giá kết quả:</t>
  </si>
  <si>
    <t>- Pass: Kết quả thực tế khớp hoàn toàn với Kết quả mong đợi.</t>
  </si>
  <si>
    <t>- Fail: Kết quả thực tế khác với Kết quả mong đợi, cần tạo bug/ghi chú link bug ở cột Ghi chú.</t>
  </si>
  <si>
    <t>- Blocked: Không thể thực thi test case do phụ thuộc vào 1 test case khác chưa Pass, hoặc môi trường/tính năng chưa sẵn sàng.</t>
  </si>
  <si>
    <t>- Untested: Test case chưa được thực thi lần nào.</t>
  </si>
  <si>
    <t>4. Quy trình khuyến nghị khi thực thi:</t>
  </si>
  <si>
    <t>- Chạy các test case Critical trước (đặc biệt các case Happy path được ghi chú "chạy đầu tiên") để đảm bảo luồng chính hoạt động trước khi test chi tiết/biên.</t>
  </si>
  <si>
    <t>- Với các test case ghi chú "Chỉ áp dụng nếu...", Tester cần xác nhận với BA/Dev xem tính năng có được triển khai trong bản build đang test hay không trước khi đánh Fail.</t>
  </si>
  <si>
    <t>- Với các test case liên quan tới LocalStorage/SessionStorage (Giỏ hàng, Bookmark, Ghi chú), nên xóa dữ liệu trình duyệt (clear storage) trước khi bắt đầu 1 vòng test mới để đảm bảo kết quả không bị ảnh hưởng bởi dữ liệu cũ.</t>
  </si>
  <si>
    <t>- Cập nhật lại sheet Tổng hợp (F9 để recalculate) sau mỗi đợt thực thi để có số liệu thống kê mới nhất.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</si>
</sst>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charset val="1"/>
    </font>
    <font>
      <b/>
      <sz val="16"/>
      <color rgb="FFFFFFFF"/>
      <name val="Arial"/>
      <charset val="1"/>
    </font>
    <font>
      <sz val="10"/>
      <color rgb="FF595959"/>
      <name val="Arial"/>
      <charset val="1"/>
    </font>
    <font>
      <b/>
      <sz val="11"/>
      <color rgb="FF1F4E78"/>
      <name val="Arial"/>
      <charset val="1"/>
    </font>
    <font>
      <b/>
      <sz val="10"/>
      <color rgb="FFFFFFFF"/>
      <name val="Arial"/>
      <charset val="1"/>
    </font>
    <font>
      <sz val="10"/>
      <name val="Arial"/>
      <charset val="1"/>
    </font>
    <font>
      <b/>
      <sz val="14"/>
      <color rgb="FFFFFFFF"/>
      <name val="Arial"/>
      <charset val="1"/>
    </font>
    <font>
      <b/>
      <sz val="10"/>
      <name val="Arial"/>
      <charset val="1"/>
    </font>
    <font>
      <b/>
      <sz val="16"/>
      <color rgb="FFFFFFFF"/>
      <name val="Calibri"/>
    </font>
    <font>
      <b/>
      <sz val="13"/>
      <color rgb="FF1F4E78"/>
      <name val="Calibri"/>
    </font>
  </fonts>
  <fills count="7">
    <fill>
      <patternFill patternType="none"/>
    </fill>
    <fill>
      <patternFill patternType="gray125"/>
    </fill>
    <fill>
      <patternFill patternType="solid">
        <fgColor rgb="FF1F4E78"/>
        <bgColor rgb="FF003366"/>
      </patternFill>
    </fill>
    <fill>
      <patternFill patternType="solid">
        <fgColor rgb="FFBDD7EE"/>
        <bgColor rgb="FF99CCFF"/>
      </patternFill>
    </fill>
    <fill>
      <patternFill patternType="solid">
        <fgColor rgb="FF2E75B6"/>
        <bgColor rgb="FF0066CC"/>
      </patternFill>
    </fill>
    <fill>
      <patternFill patternType="solid">
        <fgColor rgb="FF1F4E78"/>
      </patternFill>
    </fill>
    <fill>
      <patternFill patternType="solid">
        <fgColor rgb="FFD9EAF7"/>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17">
    <xf numFmtId="0" fontId="0" fillId="0" borderId="0" xfId="0"/>
    <xf numFmtId="0" fontId="4" fillId="4" borderId="1" xfId="0" applyFont="1" applyFill="1" applyBorder="1" applyAlignment="1">
      <alignment horizontal="center" vertical="center" wrapText="1"/>
    </xf>
    <xf numFmtId="0" fontId="5" fillId="0" borderId="1" xfId="0" applyFont="1" applyBorder="1" applyAlignment="1">
      <alignment horizontal="left" vertical="top" wrapText="1"/>
    </xf>
    <xf numFmtId="0" fontId="4" fillId="4" borderId="1" xfId="0" applyFont="1" applyFill="1" applyBorder="1" applyAlignment="1">
      <alignment horizontal="center" vertical="center"/>
    </xf>
    <xf numFmtId="0" fontId="5" fillId="0" borderId="1" xfId="0" applyFont="1" applyBorder="1" applyAlignment="1">
      <alignment horizontal="left" vertical="center"/>
    </xf>
    <xf numFmtId="0" fontId="7" fillId="0" borderId="1" xfId="0" applyFont="1" applyBorder="1" applyAlignment="1">
      <alignment horizontal="center" vertical="center"/>
    </xf>
    <xf numFmtId="0" fontId="5" fillId="0" borderId="1" xfId="0" applyFont="1" applyBorder="1" applyAlignment="1">
      <alignment horizontal="center" vertical="center"/>
    </xf>
    <xf numFmtId="0" fontId="8" fillId="5" borderId="2" xfId="0" applyFont="1" applyFill="1" applyBorder="1" applyAlignment="1">
      <alignment horizontal="center" vertical="center" wrapText="1"/>
    </xf>
    <xf numFmtId="0" fontId="5" fillId="0" borderId="0" xfId="0" applyFont="1" applyAlignment="1">
      <alignment horizontal="left" vertical="center" wrapText="1"/>
    </xf>
    <xf numFmtId="0" fontId="9" fillId="6" borderId="2" xfId="0" applyFont="1" applyFill="1" applyBorder="1" applyAlignment="1">
      <alignment horizontal="left" vertical="center" wrapText="1"/>
    </xf>
    <xf numFmtId="0" fontId="5" fillId="0" borderId="2" xfId="0" applyFont="1" applyBorder="1" applyAlignment="1">
      <alignment horizontal="left" vertical="top" wrapText="1"/>
    </xf>
    <xf numFmtId="0" fontId="0" fillId="0" borderId="0" xfId="0"/>
    <xf numFmtId="0" fontId="3" fillId="3" borderId="0" xfId="0" applyFont="1" applyFill="1" applyAlignment="1">
      <alignment horizontal="left" vertical="center"/>
    </xf>
    <xf numFmtId="0" fontId="0" fillId="0" borderId="0" xfId="0"/>
    <xf numFmtId="0" fontId="2" fillId="0" borderId="0" xfId="0" applyFont="1" applyAlignment="1">
      <alignment horizontal="center" vertical="center" wrapText="1"/>
    </xf>
    <xf numFmtId="0" fontId="1"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44"/>
  <sheetViews>
    <sheetView tabSelected="1" zoomScaleNormal="100" workbookViewId="0">
      <pane xSplit="2" ySplit="5" topLeftCell="D6" activePane="bottomRight" state="frozen"/>
      <selection pane="topRight" activeCell="C1" sqref="C1"/>
      <selection pane="bottomLeft" activeCell="A6" sqref="A6"/>
      <selection pane="bottomRight" activeCell="A2" sqref="A2:N2"/>
    </sheetView>
  </sheetViews>
  <sheetFormatPr defaultColWidth="8.6640625" defaultRowHeight="14.4" x14ac:dyDescent="0.3"/>
  <cols>
    <col min="1" max="1" width="6" style="11" customWidth="1"/>
    <col min="2" max="2" width="14" style="11" customWidth="1"/>
    <col min="3" max="3" width="30" style="11" customWidth="1"/>
    <col min="4" max="4" width="34" style="11" customWidth="1"/>
    <col min="5" max="5" width="26" style="11" customWidth="1"/>
    <col min="6" max="6" width="44" style="11" customWidth="1"/>
    <col min="7" max="7" width="30" style="11" customWidth="1"/>
    <col min="8" max="8" width="44" style="11" customWidth="1"/>
    <col min="9" max="9" width="20" style="11" customWidth="1"/>
    <col min="10" max="10" width="12" style="11" customWidth="1"/>
    <col min="11" max="11" width="14" style="11" customWidth="1"/>
    <col min="12" max="12" width="16" style="11" customWidth="1"/>
    <col min="13" max="13" width="14" style="11" customWidth="1"/>
    <col min="14" max="14" width="26" style="11" customWidth="1"/>
  </cols>
  <sheetData>
    <row r="1" spans="1:14" ht="30" customHeight="1" x14ac:dyDescent="0.3">
      <c r="A1" s="15" t="s">
        <v>0</v>
      </c>
      <c r="B1" s="13"/>
      <c r="C1" s="13"/>
      <c r="D1" s="13"/>
      <c r="E1" s="13"/>
      <c r="F1" s="13"/>
      <c r="G1" s="13"/>
      <c r="H1" s="13"/>
      <c r="I1" s="13"/>
      <c r="J1" s="13"/>
      <c r="K1" s="13"/>
      <c r="L1" s="13"/>
      <c r="M1" s="13"/>
      <c r="N1" s="13"/>
    </row>
    <row r="2" spans="1:14" ht="30" customHeight="1" x14ac:dyDescent="0.3">
      <c r="A2" s="14" t="s">
        <v>1</v>
      </c>
      <c r="B2" s="13"/>
      <c r="C2" s="13"/>
      <c r="D2" s="13"/>
      <c r="E2" s="13"/>
      <c r="F2" s="13"/>
      <c r="G2" s="13"/>
      <c r="H2" s="13"/>
      <c r="I2" s="13"/>
      <c r="J2" s="13"/>
      <c r="K2" s="13"/>
      <c r="L2" s="13"/>
      <c r="M2" s="13"/>
      <c r="N2" s="13"/>
    </row>
    <row r="3" spans="1:14" ht="6" customHeight="1" x14ac:dyDescent="0.3">
      <c r="A3" s="13"/>
      <c r="B3" s="13"/>
      <c r="C3" s="13"/>
      <c r="D3" s="13"/>
      <c r="E3" s="13"/>
      <c r="F3" s="13"/>
      <c r="G3" s="13"/>
      <c r="H3" s="13"/>
      <c r="I3" s="13"/>
      <c r="J3" s="13"/>
      <c r="K3" s="13"/>
      <c r="L3" s="13"/>
      <c r="M3" s="13"/>
      <c r="N3" s="13"/>
    </row>
    <row r="4" spans="1:14" ht="19.5" customHeight="1" x14ac:dyDescent="0.3">
      <c r="A4" s="12" t="s">
        <v>2</v>
      </c>
      <c r="B4" s="13"/>
      <c r="C4" s="13"/>
      <c r="D4" s="13"/>
      <c r="E4" s="13"/>
      <c r="F4" s="13"/>
      <c r="G4" s="13"/>
      <c r="H4" s="13"/>
      <c r="I4" s="13"/>
      <c r="J4" s="13"/>
      <c r="K4" s="13"/>
      <c r="L4" s="13"/>
      <c r="M4" s="13"/>
      <c r="N4" s="13"/>
    </row>
    <row r="5" spans="1:14" ht="21.75" customHeight="1" x14ac:dyDescent="0.3">
      <c r="A5" s="1" t="s">
        <v>3</v>
      </c>
      <c r="B5" s="1" t="s">
        <v>4</v>
      </c>
      <c r="C5" s="1" t="s">
        <v>5</v>
      </c>
      <c r="D5" s="1" t="s">
        <v>6</v>
      </c>
      <c r="E5" s="1" t="s">
        <v>7</v>
      </c>
      <c r="F5" s="1" t="s">
        <v>8</v>
      </c>
      <c r="G5" s="1" t="s">
        <v>9</v>
      </c>
      <c r="H5" s="1" t="s">
        <v>10</v>
      </c>
      <c r="I5" s="1" t="s">
        <v>11</v>
      </c>
      <c r="J5" s="1" t="s">
        <v>12</v>
      </c>
      <c r="K5" s="1" t="s">
        <v>13</v>
      </c>
      <c r="L5" s="1" t="s">
        <v>14</v>
      </c>
      <c r="M5" s="1" t="s">
        <v>15</v>
      </c>
      <c r="N5" s="1" t="s">
        <v>16</v>
      </c>
    </row>
    <row r="6" spans="1:14" ht="90" customHeight="1" x14ac:dyDescent="0.3">
      <c r="A6" s="2">
        <v>1</v>
      </c>
      <c r="B6" s="2" t="s">
        <v>17</v>
      </c>
      <c r="C6" s="2" t="s">
        <v>18</v>
      </c>
      <c r="D6" s="2" t="s">
        <v>19</v>
      </c>
      <c r="E6" s="2" t="s">
        <v>20</v>
      </c>
      <c r="F6" s="2" t="s">
        <v>21</v>
      </c>
      <c r="G6" s="2" t="s">
        <v>22</v>
      </c>
      <c r="H6" s="2" t="s">
        <v>23</v>
      </c>
      <c r="I6" s="2"/>
      <c r="J6" s="2" t="s">
        <v>24</v>
      </c>
      <c r="K6" s="2" t="s">
        <v>25</v>
      </c>
      <c r="L6" s="2"/>
      <c r="M6" s="2"/>
      <c r="N6" s="2" t="s">
        <v>26</v>
      </c>
    </row>
    <row r="7" spans="1:14" ht="90" customHeight="1" x14ac:dyDescent="0.3">
      <c r="A7" s="2">
        <v>2</v>
      </c>
      <c r="B7" s="2" t="s">
        <v>27</v>
      </c>
      <c r="C7" s="2" t="s">
        <v>28</v>
      </c>
      <c r="D7" s="2" t="s">
        <v>29</v>
      </c>
      <c r="E7" s="2" t="s">
        <v>20</v>
      </c>
      <c r="F7" s="2" t="s">
        <v>30</v>
      </c>
      <c r="G7" s="2" t="s">
        <v>31</v>
      </c>
      <c r="H7" s="2" t="s">
        <v>32</v>
      </c>
      <c r="I7" s="2"/>
      <c r="J7" s="2" t="s">
        <v>24</v>
      </c>
      <c r="K7" s="2" t="s">
        <v>33</v>
      </c>
      <c r="L7" s="2"/>
      <c r="M7" s="2"/>
      <c r="N7" s="2"/>
    </row>
    <row r="8" spans="1:14" ht="90" customHeight="1" x14ac:dyDescent="0.3">
      <c r="A8" s="2">
        <v>3</v>
      </c>
      <c r="B8" s="2" t="s">
        <v>34</v>
      </c>
      <c r="C8" s="2" t="s">
        <v>35</v>
      </c>
      <c r="D8" s="2" t="s">
        <v>36</v>
      </c>
      <c r="E8" s="2" t="s">
        <v>20</v>
      </c>
      <c r="F8" s="2" t="s">
        <v>37</v>
      </c>
      <c r="G8" s="2" t="s">
        <v>38</v>
      </c>
      <c r="H8" s="2" t="s">
        <v>39</v>
      </c>
      <c r="I8" s="2"/>
      <c r="J8" s="2" t="s">
        <v>24</v>
      </c>
      <c r="K8" s="2" t="s">
        <v>40</v>
      </c>
      <c r="L8" s="2"/>
      <c r="M8" s="2"/>
      <c r="N8" s="2"/>
    </row>
    <row r="9" spans="1:14" ht="90" customHeight="1" x14ac:dyDescent="0.3">
      <c r="A9" s="2">
        <v>4</v>
      </c>
      <c r="B9" s="2" t="s">
        <v>41</v>
      </c>
      <c r="C9" s="2" t="s">
        <v>42</v>
      </c>
      <c r="D9" s="2" t="s">
        <v>43</v>
      </c>
      <c r="E9" s="2" t="s">
        <v>20</v>
      </c>
      <c r="F9" s="2" t="s">
        <v>44</v>
      </c>
      <c r="G9" s="2" t="s">
        <v>45</v>
      </c>
      <c r="H9" s="2" t="s">
        <v>46</v>
      </c>
      <c r="I9" s="2"/>
      <c r="J9" s="2" t="s">
        <v>24</v>
      </c>
      <c r="K9" s="2" t="s">
        <v>25</v>
      </c>
      <c r="L9" s="2"/>
      <c r="M9" s="2"/>
      <c r="N9" s="2" t="s">
        <v>47</v>
      </c>
    </row>
    <row r="10" spans="1:14" ht="90" customHeight="1" x14ac:dyDescent="0.3">
      <c r="A10" s="2">
        <v>5</v>
      </c>
      <c r="B10" s="2" t="s">
        <v>48</v>
      </c>
      <c r="C10" s="2" t="s">
        <v>49</v>
      </c>
      <c r="D10" s="2" t="s">
        <v>50</v>
      </c>
      <c r="E10" s="2" t="s">
        <v>20</v>
      </c>
      <c r="F10" s="2" t="s">
        <v>51</v>
      </c>
      <c r="G10" s="2" t="s">
        <v>31</v>
      </c>
      <c r="H10" s="2" t="s">
        <v>52</v>
      </c>
      <c r="I10" s="2"/>
      <c r="J10" s="2" t="s">
        <v>24</v>
      </c>
      <c r="K10" s="2" t="s">
        <v>33</v>
      </c>
      <c r="L10" s="2"/>
      <c r="M10" s="2"/>
      <c r="N10" s="2"/>
    </row>
    <row r="11" spans="1:14" ht="90" customHeight="1" x14ac:dyDescent="0.3">
      <c r="A11" s="2">
        <v>6</v>
      </c>
      <c r="B11" s="2" t="s">
        <v>53</v>
      </c>
      <c r="C11" s="2" t="s">
        <v>54</v>
      </c>
      <c r="D11" s="2" t="s">
        <v>55</v>
      </c>
      <c r="E11" s="2" t="s">
        <v>20</v>
      </c>
      <c r="F11" s="2" t="s">
        <v>56</v>
      </c>
      <c r="G11" s="2" t="s">
        <v>31</v>
      </c>
      <c r="H11" s="2" t="s">
        <v>57</v>
      </c>
      <c r="I11" s="2"/>
      <c r="J11" s="2" t="s">
        <v>24</v>
      </c>
      <c r="K11" s="2" t="s">
        <v>33</v>
      </c>
      <c r="L11" s="2"/>
      <c r="M11" s="2"/>
      <c r="N11" s="2"/>
    </row>
    <row r="12" spans="1:14" ht="90" customHeight="1" x14ac:dyDescent="0.3">
      <c r="A12" s="2">
        <v>7</v>
      </c>
      <c r="B12" s="2" t="s">
        <v>58</v>
      </c>
      <c r="C12" s="2" t="s">
        <v>59</v>
      </c>
      <c r="D12" s="2" t="s">
        <v>60</v>
      </c>
      <c r="E12" s="2" t="s">
        <v>20</v>
      </c>
      <c r="F12" s="2" t="s">
        <v>61</v>
      </c>
      <c r="G12" s="2" t="s">
        <v>62</v>
      </c>
      <c r="H12" s="2" t="s">
        <v>63</v>
      </c>
      <c r="I12" s="2"/>
      <c r="J12" s="2" t="s">
        <v>24</v>
      </c>
      <c r="K12" s="2" t="s">
        <v>40</v>
      </c>
      <c r="L12" s="2"/>
      <c r="M12" s="2"/>
      <c r="N12" s="2"/>
    </row>
    <row r="13" spans="1:14" ht="90" customHeight="1" x14ac:dyDescent="0.3">
      <c r="A13" s="2">
        <v>8</v>
      </c>
      <c r="B13" s="2" t="s">
        <v>64</v>
      </c>
      <c r="C13" s="2" t="s">
        <v>65</v>
      </c>
      <c r="D13" s="2" t="s">
        <v>66</v>
      </c>
      <c r="E13" s="2" t="s">
        <v>20</v>
      </c>
      <c r="F13" s="2" t="s">
        <v>67</v>
      </c>
      <c r="G13" s="2" t="s">
        <v>31</v>
      </c>
      <c r="H13" s="2" t="s">
        <v>68</v>
      </c>
      <c r="I13" s="2"/>
      <c r="J13" s="2" t="s">
        <v>24</v>
      </c>
      <c r="K13" s="2" t="s">
        <v>33</v>
      </c>
      <c r="L13" s="2"/>
      <c r="M13" s="2"/>
      <c r="N13" s="2"/>
    </row>
    <row r="14" spans="1:14" ht="90" customHeight="1" x14ac:dyDescent="0.3">
      <c r="A14" s="2">
        <v>9</v>
      </c>
      <c r="B14" s="2" t="s">
        <v>69</v>
      </c>
      <c r="C14" s="2" t="s">
        <v>70</v>
      </c>
      <c r="D14" s="2" t="s">
        <v>71</v>
      </c>
      <c r="E14" s="2" t="s">
        <v>20</v>
      </c>
      <c r="F14" s="2" t="s">
        <v>72</v>
      </c>
      <c r="G14" s="2" t="s">
        <v>31</v>
      </c>
      <c r="H14" s="2" t="s">
        <v>73</v>
      </c>
      <c r="I14" s="2"/>
      <c r="J14" s="2" t="s">
        <v>24</v>
      </c>
      <c r="K14" s="2" t="s">
        <v>40</v>
      </c>
      <c r="L14" s="2"/>
      <c r="M14" s="2"/>
      <c r="N14" s="2"/>
    </row>
    <row r="15" spans="1:14" ht="90" customHeight="1" x14ac:dyDescent="0.3">
      <c r="A15" s="2">
        <v>10</v>
      </c>
      <c r="B15" s="2" t="s">
        <v>74</v>
      </c>
      <c r="C15" s="2" t="s">
        <v>75</v>
      </c>
      <c r="D15" s="2" t="s">
        <v>76</v>
      </c>
      <c r="E15" s="2" t="s">
        <v>20</v>
      </c>
      <c r="F15" s="2" t="s">
        <v>77</v>
      </c>
      <c r="G15" s="2" t="s">
        <v>78</v>
      </c>
      <c r="H15" s="2" t="s">
        <v>79</v>
      </c>
      <c r="I15" s="2"/>
      <c r="J15" s="2" t="s">
        <v>24</v>
      </c>
      <c r="K15" s="2" t="s">
        <v>33</v>
      </c>
      <c r="L15" s="2"/>
      <c r="M15" s="2"/>
      <c r="N15" s="2" t="s">
        <v>80</v>
      </c>
    </row>
    <row r="16" spans="1:14" ht="90" customHeight="1" x14ac:dyDescent="0.3">
      <c r="A16" s="2">
        <v>11</v>
      </c>
      <c r="B16" s="2" t="s">
        <v>81</v>
      </c>
      <c r="C16" s="2" t="s">
        <v>82</v>
      </c>
      <c r="D16" s="2" t="s">
        <v>83</v>
      </c>
      <c r="E16" s="2" t="s">
        <v>20</v>
      </c>
      <c r="F16" s="2" t="s">
        <v>84</v>
      </c>
      <c r="G16" s="2" t="s">
        <v>85</v>
      </c>
      <c r="H16" s="2" t="s">
        <v>86</v>
      </c>
      <c r="I16" s="2"/>
      <c r="J16" s="2" t="s">
        <v>24</v>
      </c>
      <c r="K16" s="2" t="s">
        <v>40</v>
      </c>
      <c r="L16" s="2"/>
      <c r="M16" s="2"/>
      <c r="N16" s="2"/>
    </row>
    <row r="17" spans="1:14" ht="90" customHeight="1" x14ac:dyDescent="0.3">
      <c r="A17" s="2">
        <v>12</v>
      </c>
      <c r="B17" s="2" t="s">
        <v>87</v>
      </c>
      <c r="C17" s="2" t="s">
        <v>88</v>
      </c>
      <c r="D17" s="2" t="s">
        <v>89</v>
      </c>
      <c r="E17" s="2" t="s">
        <v>20</v>
      </c>
      <c r="F17" s="2" t="s">
        <v>90</v>
      </c>
      <c r="G17" s="2" t="s">
        <v>91</v>
      </c>
      <c r="H17" s="2" t="s">
        <v>92</v>
      </c>
      <c r="I17" s="2"/>
      <c r="J17" s="2" t="s">
        <v>24</v>
      </c>
      <c r="K17" s="2" t="s">
        <v>33</v>
      </c>
      <c r="L17" s="2"/>
      <c r="M17" s="2"/>
      <c r="N17" s="2" t="s">
        <v>93</v>
      </c>
    </row>
    <row r="19" spans="1:14" ht="19.5" customHeight="1" x14ac:dyDescent="0.3">
      <c r="A19" s="12" t="s">
        <v>94</v>
      </c>
      <c r="B19" s="13"/>
      <c r="C19" s="13"/>
      <c r="D19" s="13"/>
      <c r="E19" s="13"/>
      <c r="F19" s="13"/>
      <c r="G19" s="13"/>
      <c r="H19" s="13"/>
      <c r="I19" s="13"/>
      <c r="J19" s="13"/>
      <c r="K19" s="13"/>
      <c r="L19" s="13"/>
      <c r="M19" s="13"/>
      <c r="N19" s="13"/>
    </row>
    <row r="20" spans="1:14" ht="21.75" customHeight="1" x14ac:dyDescent="0.3">
      <c r="A20" s="1" t="s">
        <v>3</v>
      </c>
      <c r="B20" s="1" t="s">
        <v>4</v>
      </c>
      <c r="C20" s="1" t="s">
        <v>5</v>
      </c>
      <c r="D20" s="1" t="s">
        <v>6</v>
      </c>
      <c r="E20" s="1" t="s">
        <v>7</v>
      </c>
      <c r="F20" s="1" t="s">
        <v>8</v>
      </c>
      <c r="G20" s="1" t="s">
        <v>9</v>
      </c>
      <c r="H20" s="1" t="s">
        <v>10</v>
      </c>
      <c r="I20" s="1" t="s">
        <v>11</v>
      </c>
      <c r="J20" s="1" t="s">
        <v>12</v>
      </c>
      <c r="K20" s="1" t="s">
        <v>13</v>
      </c>
      <c r="L20" s="1" t="s">
        <v>14</v>
      </c>
      <c r="M20" s="1" t="s">
        <v>15</v>
      </c>
      <c r="N20" s="1" t="s">
        <v>16</v>
      </c>
    </row>
    <row r="21" spans="1:14" ht="90" customHeight="1" x14ac:dyDescent="0.3">
      <c r="A21" s="2">
        <v>1</v>
      </c>
      <c r="B21" s="2" t="s">
        <v>95</v>
      </c>
      <c r="C21" s="2" t="s">
        <v>96</v>
      </c>
      <c r="D21" s="2" t="s">
        <v>97</v>
      </c>
      <c r="E21" s="2" t="s">
        <v>98</v>
      </c>
      <c r="F21" s="2" t="s">
        <v>99</v>
      </c>
      <c r="G21" s="2" t="s">
        <v>100</v>
      </c>
      <c r="H21" s="2" t="s">
        <v>101</v>
      </c>
      <c r="I21" s="2"/>
      <c r="J21" s="2" t="s">
        <v>24</v>
      </c>
      <c r="K21" s="2" t="s">
        <v>25</v>
      </c>
      <c r="L21" s="2"/>
      <c r="M21" s="2"/>
      <c r="N21" s="2" t="s">
        <v>102</v>
      </c>
    </row>
    <row r="22" spans="1:14" ht="90" customHeight="1" x14ac:dyDescent="0.3">
      <c r="A22" s="2">
        <v>2</v>
      </c>
      <c r="B22" s="2" t="s">
        <v>103</v>
      </c>
      <c r="C22" s="2" t="s">
        <v>104</v>
      </c>
      <c r="D22" s="2" t="s">
        <v>105</v>
      </c>
      <c r="E22" s="2" t="s">
        <v>98</v>
      </c>
      <c r="F22" s="2" t="s">
        <v>106</v>
      </c>
      <c r="G22" s="2" t="s">
        <v>107</v>
      </c>
      <c r="H22" s="2" t="s">
        <v>108</v>
      </c>
      <c r="I22" s="2"/>
      <c r="J22" s="2" t="s">
        <v>24</v>
      </c>
      <c r="K22" s="2" t="s">
        <v>40</v>
      </c>
      <c r="L22" s="2"/>
      <c r="M22" s="2"/>
      <c r="N22" s="2"/>
    </row>
    <row r="23" spans="1:14" ht="90" customHeight="1" x14ac:dyDescent="0.3">
      <c r="A23" s="2">
        <v>3</v>
      </c>
      <c r="B23" s="2" t="s">
        <v>109</v>
      </c>
      <c r="C23" s="2" t="s">
        <v>110</v>
      </c>
      <c r="D23" s="2" t="s">
        <v>111</v>
      </c>
      <c r="E23" s="2" t="s">
        <v>98</v>
      </c>
      <c r="F23" s="2" t="s">
        <v>112</v>
      </c>
      <c r="G23" s="2" t="s">
        <v>45</v>
      </c>
      <c r="H23" s="2" t="s">
        <v>113</v>
      </c>
      <c r="I23" s="2"/>
      <c r="J23" s="2" t="s">
        <v>24</v>
      </c>
      <c r="K23" s="2" t="s">
        <v>25</v>
      </c>
      <c r="L23" s="2"/>
      <c r="M23" s="2"/>
      <c r="N23" s="2" t="s">
        <v>114</v>
      </c>
    </row>
    <row r="24" spans="1:14" ht="90" customHeight="1" x14ac:dyDescent="0.3">
      <c r="A24" s="2">
        <v>4</v>
      </c>
      <c r="B24" s="2" t="s">
        <v>115</v>
      </c>
      <c r="C24" s="2" t="s">
        <v>116</v>
      </c>
      <c r="D24" s="2" t="s">
        <v>117</v>
      </c>
      <c r="E24" s="2" t="s">
        <v>98</v>
      </c>
      <c r="F24" s="2" t="s">
        <v>118</v>
      </c>
      <c r="G24" s="2" t="s">
        <v>119</v>
      </c>
      <c r="H24" s="2" t="s">
        <v>120</v>
      </c>
      <c r="I24" s="2"/>
      <c r="J24" s="2" t="s">
        <v>24</v>
      </c>
      <c r="K24" s="2" t="s">
        <v>40</v>
      </c>
      <c r="L24" s="2"/>
      <c r="M24" s="2"/>
      <c r="N24" s="2" t="s">
        <v>121</v>
      </c>
    </row>
    <row r="25" spans="1:14" ht="90" customHeight="1" x14ac:dyDescent="0.3">
      <c r="A25" s="2">
        <v>5</v>
      </c>
      <c r="B25" s="2" t="s">
        <v>122</v>
      </c>
      <c r="C25" s="2" t="s">
        <v>123</v>
      </c>
      <c r="D25" s="2" t="s">
        <v>124</v>
      </c>
      <c r="E25" s="2" t="s">
        <v>98</v>
      </c>
      <c r="F25" s="2" t="s">
        <v>125</v>
      </c>
      <c r="G25" s="2" t="s">
        <v>126</v>
      </c>
      <c r="H25" s="2" t="s">
        <v>127</v>
      </c>
      <c r="I25" s="2"/>
      <c r="J25" s="2" t="s">
        <v>24</v>
      </c>
      <c r="K25" s="2" t="s">
        <v>33</v>
      </c>
      <c r="L25" s="2"/>
      <c r="M25" s="2"/>
      <c r="N25" s="2"/>
    </row>
    <row r="26" spans="1:14" ht="90" customHeight="1" x14ac:dyDescent="0.3">
      <c r="A26" s="2">
        <v>6</v>
      </c>
      <c r="B26" s="2" t="s">
        <v>128</v>
      </c>
      <c r="C26" s="2" t="s">
        <v>129</v>
      </c>
      <c r="D26" s="2" t="s">
        <v>130</v>
      </c>
      <c r="E26" s="2" t="s">
        <v>98</v>
      </c>
      <c r="F26" s="2" t="s">
        <v>131</v>
      </c>
      <c r="G26" s="2" t="s">
        <v>132</v>
      </c>
      <c r="H26" s="2" t="s">
        <v>133</v>
      </c>
      <c r="I26" s="2"/>
      <c r="J26" s="2" t="s">
        <v>24</v>
      </c>
      <c r="K26" s="2" t="s">
        <v>33</v>
      </c>
      <c r="L26" s="2"/>
      <c r="M26" s="2"/>
      <c r="N26" s="2"/>
    </row>
    <row r="27" spans="1:14" ht="90" customHeight="1" x14ac:dyDescent="0.3">
      <c r="A27" s="2">
        <v>7</v>
      </c>
      <c r="B27" s="2" t="s">
        <v>134</v>
      </c>
      <c r="C27" s="2" t="s">
        <v>135</v>
      </c>
      <c r="D27" s="2" t="s">
        <v>136</v>
      </c>
      <c r="E27" s="2" t="s">
        <v>98</v>
      </c>
      <c r="F27" s="2" t="s">
        <v>137</v>
      </c>
      <c r="G27" s="2" t="s">
        <v>138</v>
      </c>
      <c r="H27" s="2" t="s">
        <v>139</v>
      </c>
      <c r="I27" s="2"/>
      <c r="J27" s="2" t="s">
        <v>24</v>
      </c>
      <c r="K27" s="2" t="s">
        <v>33</v>
      </c>
      <c r="L27" s="2"/>
      <c r="M27" s="2"/>
      <c r="N27" s="2"/>
    </row>
    <row r="28" spans="1:14" ht="90" customHeight="1" x14ac:dyDescent="0.3">
      <c r="A28" s="2">
        <v>8</v>
      </c>
      <c r="B28" s="2" t="s">
        <v>140</v>
      </c>
      <c r="C28" s="2" t="s">
        <v>141</v>
      </c>
      <c r="D28" s="2" t="s">
        <v>142</v>
      </c>
      <c r="E28" s="2" t="s">
        <v>98</v>
      </c>
      <c r="F28" s="2" t="s">
        <v>143</v>
      </c>
      <c r="G28" s="2" t="s">
        <v>144</v>
      </c>
      <c r="H28" s="2" t="s">
        <v>145</v>
      </c>
      <c r="I28" s="2"/>
      <c r="J28" s="2" t="s">
        <v>24</v>
      </c>
      <c r="K28" s="2" t="s">
        <v>33</v>
      </c>
      <c r="L28" s="2"/>
      <c r="M28" s="2"/>
      <c r="N28" s="2"/>
    </row>
    <row r="29" spans="1:14" ht="90" customHeight="1" x14ac:dyDescent="0.3">
      <c r="A29" s="2">
        <v>9</v>
      </c>
      <c r="B29" s="2" t="s">
        <v>146</v>
      </c>
      <c r="C29" s="2" t="s">
        <v>147</v>
      </c>
      <c r="D29" s="2" t="s">
        <v>148</v>
      </c>
      <c r="E29" s="2" t="s">
        <v>98</v>
      </c>
      <c r="F29" s="2" t="s">
        <v>149</v>
      </c>
      <c r="G29" s="2" t="s">
        <v>150</v>
      </c>
      <c r="H29" s="2" t="s">
        <v>151</v>
      </c>
      <c r="I29" s="2"/>
      <c r="J29" s="2" t="s">
        <v>24</v>
      </c>
      <c r="K29" s="2" t="s">
        <v>33</v>
      </c>
      <c r="L29" s="2"/>
      <c r="M29" s="2"/>
      <c r="N29" s="2"/>
    </row>
    <row r="30" spans="1:14" ht="90" customHeight="1" x14ac:dyDescent="0.3">
      <c r="A30" s="2">
        <v>10</v>
      </c>
      <c r="B30" s="2" t="s">
        <v>152</v>
      </c>
      <c r="C30" s="2" t="s">
        <v>153</v>
      </c>
      <c r="D30" s="2" t="s">
        <v>154</v>
      </c>
      <c r="E30" s="2" t="s">
        <v>98</v>
      </c>
      <c r="F30" s="2" t="s">
        <v>155</v>
      </c>
      <c r="G30" s="2" t="s">
        <v>156</v>
      </c>
      <c r="H30" s="2" t="s">
        <v>157</v>
      </c>
      <c r="I30" s="2"/>
      <c r="J30" s="2" t="s">
        <v>24</v>
      </c>
      <c r="K30" s="2" t="s">
        <v>40</v>
      </c>
      <c r="L30" s="2"/>
      <c r="M30" s="2"/>
      <c r="N30" s="2"/>
    </row>
    <row r="31" spans="1:14" ht="90" customHeight="1" x14ac:dyDescent="0.3">
      <c r="A31" s="2">
        <v>11</v>
      </c>
      <c r="B31" s="2" t="s">
        <v>158</v>
      </c>
      <c r="C31" s="2" t="s">
        <v>159</v>
      </c>
      <c r="D31" s="2" t="s">
        <v>160</v>
      </c>
      <c r="E31" s="2" t="s">
        <v>98</v>
      </c>
      <c r="F31" s="2" t="s">
        <v>161</v>
      </c>
      <c r="G31" s="2" t="s">
        <v>162</v>
      </c>
      <c r="H31" s="2" t="s">
        <v>163</v>
      </c>
      <c r="I31" s="2"/>
      <c r="J31" s="2" t="s">
        <v>24</v>
      </c>
      <c r="K31" s="2" t="s">
        <v>33</v>
      </c>
      <c r="L31" s="2"/>
      <c r="M31" s="2"/>
      <c r="N31" s="2"/>
    </row>
    <row r="32" spans="1:14" ht="90" customHeight="1" x14ac:dyDescent="0.3">
      <c r="A32" s="2">
        <v>12</v>
      </c>
      <c r="B32" s="2" t="s">
        <v>164</v>
      </c>
      <c r="C32" s="2" t="s">
        <v>165</v>
      </c>
      <c r="D32" s="2" t="s">
        <v>166</v>
      </c>
      <c r="E32" s="2" t="s">
        <v>98</v>
      </c>
      <c r="F32" s="2" t="s">
        <v>167</v>
      </c>
      <c r="G32" s="2" t="s">
        <v>168</v>
      </c>
      <c r="H32" s="2" t="s">
        <v>169</v>
      </c>
      <c r="I32" s="2"/>
      <c r="J32" s="2" t="s">
        <v>24</v>
      </c>
      <c r="K32" s="2" t="s">
        <v>33</v>
      </c>
      <c r="L32" s="2"/>
      <c r="M32" s="2"/>
      <c r="N32" s="2"/>
    </row>
    <row r="33" spans="1:14" ht="90" customHeight="1" x14ac:dyDescent="0.3">
      <c r="A33" s="2">
        <v>13</v>
      </c>
      <c r="B33" s="2" t="s">
        <v>170</v>
      </c>
      <c r="C33" s="2" t="s">
        <v>171</v>
      </c>
      <c r="D33" s="2" t="s">
        <v>172</v>
      </c>
      <c r="E33" s="2" t="s">
        <v>98</v>
      </c>
      <c r="F33" s="2" t="s">
        <v>173</v>
      </c>
      <c r="G33" s="2" t="s">
        <v>174</v>
      </c>
      <c r="H33" s="2" t="s">
        <v>175</v>
      </c>
      <c r="I33" s="2"/>
      <c r="J33" s="2" t="s">
        <v>24</v>
      </c>
      <c r="K33" s="2" t="s">
        <v>40</v>
      </c>
      <c r="L33" s="2"/>
      <c r="M33" s="2"/>
      <c r="N33" s="2"/>
    </row>
    <row r="34" spans="1:14" ht="90" customHeight="1" x14ac:dyDescent="0.3">
      <c r="A34" s="2">
        <v>14</v>
      </c>
      <c r="B34" s="2" t="s">
        <v>176</v>
      </c>
      <c r="C34" s="2" t="s">
        <v>177</v>
      </c>
      <c r="D34" s="2" t="s">
        <v>178</v>
      </c>
      <c r="E34" s="2" t="s">
        <v>98</v>
      </c>
      <c r="F34" s="2" t="s">
        <v>179</v>
      </c>
      <c r="G34" s="2" t="s">
        <v>180</v>
      </c>
      <c r="H34" s="2" t="s">
        <v>181</v>
      </c>
      <c r="I34" s="2"/>
      <c r="J34" s="2" t="s">
        <v>24</v>
      </c>
      <c r="K34" s="2" t="s">
        <v>33</v>
      </c>
      <c r="L34" s="2"/>
      <c r="M34" s="2"/>
      <c r="N34" s="2" t="s">
        <v>182</v>
      </c>
    </row>
    <row r="35" spans="1:14" ht="90" customHeight="1" x14ac:dyDescent="0.3">
      <c r="A35" s="2">
        <v>15</v>
      </c>
      <c r="B35" s="2" t="s">
        <v>183</v>
      </c>
      <c r="C35" s="2" t="s">
        <v>184</v>
      </c>
      <c r="D35" s="2" t="s">
        <v>185</v>
      </c>
      <c r="E35" s="2" t="s">
        <v>98</v>
      </c>
      <c r="F35" s="2" t="s">
        <v>186</v>
      </c>
      <c r="G35" s="2" t="s">
        <v>187</v>
      </c>
      <c r="H35" s="2" t="s">
        <v>188</v>
      </c>
      <c r="I35" s="2"/>
      <c r="J35" s="2" t="s">
        <v>24</v>
      </c>
      <c r="K35" s="2" t="s">
        <v>33</v>
      </c>
      <c r="L35" s="2"/>
      <c r="M35" s="2"/>
      <c r="N35" s="2"/>
    </row>
    <row r="36" spans="1:14" ht="90" customHeight="1" x14ac:dyDescent="0.3">
      <c r="A36" s="2">
        <v>16</v>
      </c>
      <c r="B36" s="2" t="s">
        <v>189</v>
      </c>
      <c r="C36" s="2" t="s">
        <v>190</v>
      </c>
      <c r="D36" s="2" t="s">
        <v>191</v>
      </c>
      <c r="E36" s="2" t="s">
        <v>98</v>
      </c>
      <c r="F36" s="2" t="s">
        <v>192</v>
      </c>
      <c r="G36" s="2" t="s">
        <v>193</v>
      </c>
      <c r="H36" s="2" t="s">
        <v>194</v>
      </c>
      <c r="I36" s="2"/>
      <c r="J36" s="2" t="s">
        <v>24</v>
      </c>
      <c r="K36" s="2" t="s">
        <v>33</v>
      </c>
      <c r="L36" s="2"/>
      <c r="M36" s="2"/>
      <c r="N36" s="2"/>
    </row>
    <row r="37" spans="1:14" ht="90" customHeight="1" x14ac:dyDescent="0.3">
      <c r="A37" s="2">
        <v>17</v>
      </c>
      <c r="B37" s="2" t="s">
        <v>195</v>
      </c>
      <c r="C37" s="2" t="s">
        <v>196</v>
      </c>
      <c r="D37" s="2" t="s">
        <v>197</v>
      </c>
      <c r="E37" s="2" t="s">
        <v>198</v>
      </c>
      <c r="F37" s="2" t="s">
        <v>199</v>
      </c>
      <c r="G37" s="2" t="s">
        <v>200</v>
      </c>
      <c r="H37" s="2" t="s">
        <v>201</v>
      </c>
      <c r="I37" s="2"/>
      <c r="J37" s="2" t="s">
        <v>24</v>
      </c>
      <c r="K37" s="2" t="s">
        <v>40</v>
      </c>
      <c r="L37" s="2"/>
      <c r="M37" s="2"/>
      <c r="N37" s="2"/>
    </row>
    <row r="38" spans="1:14" ht="90" customHeight="1" x14ac:dyDescent="0.3">
      <c r="A38" s="2">
        <v>18</v>
      </c>
      <c r="B38" s="2" t="s">
        <v>202</v>
      </c>
      <c r="C38" s="2" t="s">
        <v>203</v>
      </c>
      <c r="D38" s="2" t="s">
        <v>204</v>
      </c>
      <c r="E38" s="2" t="s">
        <v>98</v>
      </c>
      <c r="F38" s="2" t="s">
        <v>205</v>
      </c>
      <c r="G38" s="2" t="s">
        <v>206</v>
      </c>
      <c r="H38" s="2" t="s">
        <v>207</v>
      </c>
      <c r="I38" s="2"/>
      <c r="J38" s="2" t="s">
        <v>24</v>
      </c>
      <c r="K38" s="2" t="s">
        <v>33</v>
      </c>
      <c r="L38" s="2"/>
      <c r="M38" s="2"/>
      <c r="N38" s="2" t="s">
        <v>208</v>
      </c>
    </row>
    <row r="39" spans="1:14" ht="90" customHeight="1" x14ac:dyDescent="0.3">
      <c r="A39" s="2">
        <v>19</v>
      </c>
      <c r="B39" s="2" t="s">
        <v>209</v>
      </c>
      <c r="C39" s="2" t="s">
        <v>210</v>
      </c>
      <c r="D39" s="2" t="s">
        <v>211</v>
      </c>
      <c r="E39" s="2" t="s">
        <v>98</v>
      </c>
      <c r="F39" s="2" t="s">
        <v>212</v>
      </c>
      <c r="G39" s="2" t="s">
        <v>156</v>
      </c>
      <c r="H39" s="2" t="s">
        <v>213</v>
      </c>
      <c r="I39" s="2"/>
      <c r="J39" s="2" t="s">
        <v>24</v>
      </c>
      <c r="K39" s="2" t="s">
        <v>33</v>
      </c>
      <c r="L39" s="2"/>
      <c r="M39" s="2"/>
      <c r="N39" s="2"/>
    </row>
    <row r="40" spans="1:14" ht="90" customHeight="1" x14ac:dyDescent="0.3">
      <c r="A40" s="2">
        <v>20</v>
      </c>
      <c r="B40" s="2" t="s">
        <v>214</v>
      </c>
      <c r="C40" s="2" t="s">
        <v>215</v>
      </c>
      <c r="D40" s="2" t="s">
        <v>216</v>
      </c>
      <c r="E40" s="2" t="s">
        <v>98</v>
      </c>
      <c r="F40" s="2" t="s">
        <v>217</v>
      </c>
      <c r="G40" s="2" t="s">
        <v>218</v>
      </c>
      <c r="H40" s="2" t="s">
        <v>219</v>
      </c>
      <c r="I40" s="2"/>
      <c r="J40" s="2" t="s">
        <v>24</v>
      </c>
      <c r="K40" s="2" t="s">
        <v>33</v>
      </c>
      <c r="L40" s="2"/>
      <c r="M40" s="2"/>
      <c r="N40" s="2" t="s">
        <v>93</v>
      </c>
    </row>
    <row r="42" spans="1:14" ht="19.5" customHeight="1" x14ac:dyDescent="0.3">
      <c r="A42" s="12" t="s">
        <v>220</v>
      </c>
      <c r="B42" s="13"/>
      <c r="C42" s="13"/>
      <c r="D42" s="13"/>
      <c r="E42" s="13"/>
      <c r="F42" s="13"/>
      <c r="G42" s="13"/>
      <c r="H42" s="13"/>
      <c r="I42" s="13"/>
      <c r="J42" s="13"/>
      <c r="K42" s="13"/>
      <c r="L42" s="13"/>
      <c r="M42" s="13"/>
      <c r="N42" s="13"/>
    </row>
    <row r="43" spans="1:14" ht="21.75" customHeight="1" x14ac:dyDescent="0.3">
      <c r="A43" s="1" t="s">
        <v>3</v>
      </c>
      <c r="B43" s="1" t="s">
        <v>4</v>
      </c>
      <c r="C43" s="1" t="s">
        <v>5</v>
      </c>
      <c r="D43" s="1" t="s">
        <v>6</v>
      </c>
      <c r="E43" s="1" t="s">
        <v>7</v>
      </c>
      <c r="F43" s="1" t="s">
        <v>8</v>
      </c>
      <c r="G43" s="1" t="s">
        <v>9</v>
      </c>
      <c r="H43" s="1" t="s">
        <v>10</v>
      </c>
      <c r="I43" s="1" t="s">
        <v>11</v>
      </c>
      <c r="J43" s="1" t="s">
        <v>12</v>
      </c>
      <c r="K43" s="1" t="s">
        <v>13</v>
      </c>
      <c r="L43" s="1" t="s">
        <v>14</v>
      </c>
      <c r="M43" s="1" t="s">
        <v>15</v>
      </c>
      <c r="N43" s="1" t="s">
        <v>16</v>
      </c>
    </row>
    <row r="44" spans="1:14" ht="90" customHeight="1" x14ac:dyDescent="0.3">
      <c r="A44" s="2">
        <v>1</v>
      </c>
      <c r="B44" s="2" t="s">
        <v>221</v>
      </c>
      <c r="C44" s="2" t="s">
        <v>222</v>
      </c>
      <c r="D44" s="2" t="s">
        <v>223</v>
      </c>
      <c r="E44" s="2" t="s">
        <v>224</v>
      </c>
      <c r="F44" s="2" t="s">
        <v>225</v>
      </c>
      <c r="G44" s="2" t="s">
        <v>31</v>
      </c>
      <c r="H44" s="2" t="s">
        <v>226</v>
      </c>
      <c r="I44" s="2"/>
      <c r="J44" s="2" t="s">
        <v>24</v>
      </c>
      <c r="K44" s="2" t="s">
        <v>40</v>
      </c>
      <c r="L44" s="2"/>
      <c r="M44" s="2"/>
      <c r="N44" s="2"/>
    </row>
    <row r="45" spans="1:14" ht="90" customHeight="1" x14ac:dyDescent="0.3">
      <c r="A45" s="2">
        <v>2</v>
      </c>
      <c r="B45" s="2" t="s">
        <v>227</v>
      </c>
      <c r="C45" s="2" t="s">
        <v>228</v>
      </c>
      <c r="D45" s="2" t="s">
        <v>229</v>
      </c>
      <c r="E45" s="2" t="s">
        <v>224</v>
      </c>
      <c r="F45" s="2" t="s">
        <v>230</v>
      </c>
      <c r="G45" s="2" t="s">
        <v>231</v>
      </c>
      <c r="H45" s="2" t="s">
        <v>232</v>
      </c>
      <c r="I45" s="2"/>
      <c r="J45" s="2" t="s">
        <v>24</v>
      </c>
      <c r="K45" s="2" t="s">
        <v>25</v>
      </c>
      <c r="L45" s="2"/>
      <c r="M45" s="2"/>
      <c r="N45" s="2" t="s">
        <v>233</v>
      </c>
    </row>
    <row r="46" spans="1:14" ht="90" customHeight="1" x14ac:dyDescent="0.3">
      <c r="A46" s="2">
        <v>3</v>
      </c>
      <c r="B46" s="2" t="s">
        <v>234</v>
      </c>
      <c r="C46" s="2" t="s">
        <v>235</v>
      </c>
      <c r="D46" s="2" t="s">
        <v>236</v>
      </c>
      <c r="E46" s="2" t="s">
        <v>224</v>
      </c>
      <c r="F46" s="2" t="s">
        <v>237</v>
      </c>
      <c r="G46" s="2" t="s">
        <v>238</v>
      </c>
      <c r="H46" s="2" t="s">
        <v>239</v>
      </c>
      <c r="I46" s="2"/>
      <c r="J46" s="2" t="s">
        <v>24</v>
      </c>
      <c r="K46" s="2" t="s">
        <v>33</v>
      </c>
      <c r="L46" s="2"/>
      <c r="M46" s="2"/>
      <c r="N46" s="2"/>
    </row>
    <row r="47" spans="1:14" ht="90" customHeight="1" x14ac:dyDescent="0.3">
      <c r="A47" s="2">
        <v>4</v>
      </c>
      <c r="B47" s="2" t="s">
        <v>240</v>
      </c>
      <c r="C47" s="2" t="s">
        <v>241</v>
      </c>
      <c r="D47" s="2" t="s">
        <v>242</v>
      </c>
      <c r="E47" s="2" t="s">
        <v>224</v>
      </c>
      <c r="F47" s="2" t="s">
        <v>243</v>
      </c>
      <c r="G47" s="2" t="s">
        <v>244</v>
      </c>
      <c r="H47" s="2" t="s">
        <v>245</v>
      </c>
      <c r="I47" s="2"/>
      <c r="J47" s="2" t="s">
        <v>24</v>
      </c>
      <c r="K47" s="2" t="s">
        <v>33</v>
      </c>
      <c r="L47" s="2"/>
      <c r="M47" s="2"/>
      <c r="N47" s="2"/>
    </row>
    <row r="48" spans="1:14" ht="90" customHeight="1" x14ac:dyDescent="0.3">
      <c r="A48" s="2">
        <v>5</v>
      </c>
      <c r="B48" s="2" t="s">
        <v>246</v>
      </c>
      <c r="C48" s="2" t="s">
        <v>247</v>
      </c>
      <c r="D48" s="2" t="s">
        <v>248</v>
      </c>
      <c r="E48" s="2" t="s">
        <v>224</v>
      </c>
      <c r="F48" s="2" t="s">
        <v>249</v>
      </c>
      <c r="G48" s="2" t="s">
        <v>250</v>
      </c>
      <c r="H48" s="2" t="s">
        <v>251</v>
      </c>
      <c r="I48" s="2"/>
      <c r="J48" s="2" t="s">
        <v>24</v>
      </c>
      <c r="K48" s="2" t="s">
        <v>40</v>
      </c>
      <c r="L48" s="2"/>
      <c r="M48" s="2"/>
      <c r="N48" s="2"/>
    </row>
    <row r="49" spans="1:14" ht="90" customHeight="1" x14ac:dyDescent="0.3">
      <c r="A49" s="2">
        <v>6</v>
      </c>
      <c r="B49" s="2" t="s">
        <v>252</v>
      </c>
      <c r="C49" s="2" t="s">
        <v>253</v>
      </c>
      <c r="D49" s="2" t="s">
        <v>254</v>
      </c>
      <c r="E49" s="2" t="s">
        <v>224</v>
      </c>
      <c r="F49" s="2" t="s">
        <v>255</v>
      </c>
      <c r="G49" s="2" t="s">
        <v>256</v>
      </c>
      <c r="H49" s="2" t="s">
        <v>257</v>
      </c>
      <c r="I49" s="2"/>
      <c r="J49" s="2" t="s">
        <v>24</v>
      </c>
      <c r="K49" s="2" t="s">
        <v>40</v>
      </c>
      <c r="L49" s="2"/>
      <c r="M49" s="2"/>
      <c r="N49" s="2"/>
    </row>
    <row r="50" spans="1:14" ht="90" customHeight="1" x14ac:dyDescent="0.3">
      <c r="A50" s="2">
        <v>7</v>
      </c>
      <c r="B50" s="2" t="s">
        <v>258</v>
      </c>
      <c r="C50" s="2" t="s">
        <v>259</v>
      </c>
      <c r="D50" s="2" t="s">
        <v>260</v>
      </c>
      <c r="E50" s="2" t="s">
        <v>224</v>
      </c>
      <c r="F50" s="2" t="s">
        <v>261</v>
      </c>
      <c r="G50" s="2" t="s">
        <v>262</v>
      </c>
      <c r="H50" s="2" t="s">
        <v>263</v>
      </c>
      <c r="I50" s="2"/>
      <c r="J50" s="2" t="s">
        <v>24</v>
      </c>
      <c r="K50" s="2" t="s">
        <v>33</v>
      </c>
      <c r="L50" s="2"/>
      <c r="M50" s="2"/>
      <c r="N50" s="2"/>
    </row>
    <row r="51" spans="1:14" ht="90" customHeight="1" x14ac:dyDescent="0.3">
      <c r="A51" s="2">
        <v>8</v>
      </c>
      <c r="B51" s="2" t="s">
        <v>264</v>
      </c>
      <c r="C51" s="2" t="s">
        <v>265</v>
      </c>
      <c r="D51" s="2" t="s">
        <v>266</v>
      </c>
      <c r="E51" s="2" t="s">
        <v>224</v>
      </c>
      <c r="F51" s="2" t="s">
        <v>267</v>
      </c>
      <c r="G51" s="2" t="s">
        <v>268</v>
      </c>
      <c r="H51" s="2" t="s">
        <v>269</v>
      </c>
      <c r="I51" s="2"/>
      <c r="J51" s="2" t="s">
        <v>24</v>
      </c>
      <c r="K51" s="2" t="s">
        <v>33</v>
      </c>
      <c r="L51" s="2"/>
      <c r="M51" s="2"/>
      <c r="N51" s="2"/>
    </row>
    <row r="52" spans="1:14" ht="90" customHeight="1" x14ac:dyDescent="0.3">
      <c r="A52" s="2">
        <v>9</v>
      </c>
      <c r="B52" s="2" t="s">
        <v>270</v>
      </c>
      <c r="C52" s="2" t="s">
        <v>271</v>
      </c>
      <c r="D52" s="2" t="s">
        <v>272</v>
      </c>
      <c r="E52" s="2" t="s">
        <v>224</v>
      </c>
      <c r="F52" s="2" t="s">
        <v>273</v>
      </c>
      <c r="G52" s="2" t="s">
        <v>274</v>
      </c>
      <c r="H52" s="2" t="s">
        <v>275</v>
      </c>
      <c r="I52" s="2"/>
      <c r="J52" s="2" t="s">
        <v>24</v>
      </c>
      <c r="K52" s="2" t="s">
        <v>33</v>
      </c>
      <c r="L52" s="2"/>
      <c r="M52" s="2"/>
      <c r="N52" s="2"/>
    </row>
    <row r="53" spans="1:14" ht="90" customHeight="1" x14ac:dyDescent="0.3">
      <c r="A53" s="2">
        <v>10</v>
      </c>
      <c r="B53" s="2" t="s">
        <v>276</v>
      </c>
      <c r="C53" s="2" t="s">
        <v>277</v>
      </c>
      <c r="D53" s="2" t="s">
        <v>278</v>
      </c>
      <c r="E53" s="2" t="s">
        <v>224</v>
      </c>
      <c r="F53" s="2" t="s">
        <v>279</v>
      </c>
      <c r="G53" s="2" t="s">
        <v>280</v>
      </c>
      <c r="H53" s="2" t="s">
        <v>281</v>
      </c>
      <c r="I53" s="2"/>
      <c r="J53" s="2" t="s">
        <v>24</v>
      </c>
      <c r="K53" s="2" t="s">
        <v>33</v>
      </c>
      <c r="L53" s="2"/>
      <c r="M53" s="2"/>
      <c r="N53" s="2" t="s">
        <v>282</v>
      </c>
    </row>
    <row r="54" spans="1:14" ht="90" customHeight="1" x14ac:dyDescent="0.3">
      <c r="A54" s="2">
        <v>11</v>
      </c>
      <c r="B54" s="2" t="s">
        <v>283</v>
      </c>
      <c r="C54" s="2" t="s">
        <v>284</v>
      </c>
      <c r="D54" s="2" t="s">
        <v>285</v>
      </c>
      <c r="E54" s="2" t="s">
        <v>224</v>
      </c>
      <c r="F54" s="2" t="s">
        <v>286</v>
      </c>
      <c r="G54" s="2" t="s">
        <v>287</v>
      </c>
      <c r="H54" s="2" t="s">
        <v>288</v>
      </c>
      <c r="I54" s="2"/>
      <c r="J54" s="2" t="s">
        <v>24</v>
      </c>
      <c r="K54" s="2" t="s">
        <v>25</v>
      </c>
      <c r="L54" s="2"/>
      <c r="M54" s="2"/>
      <c r="N54" s="2" t="s">
        <v>289</v>
      </c>
    </row>
    <row r="55" spans="1:14" ht="90" customHeight="1" x14ac:dyDescent="0.3">
      <c r="A55" s="2">
        <v>12</v>
      </c>
      <c r="B55" s="2" t="s">
        <v>290</v>
      </c>
      <c r="C55" s="2" t="s">
        <v>291</v>
      </c>
      <c r="D55" s="2" t="s">
        <v>292</v>
      </c>
      <c r="E55" s="2" t="s">
        <v>224</v>
      </c>
      <c r="F55" s="2" t="s">
        <v>293</v>
      </c>
      <c r="G55" s="2" t="s">
        <v>294</v>
      </c>
      <c r="H55" s="2" t="s">
        <v>295</v>
      </c>
      <c r="I55" s="2"/>
      <c r="J55" s="2" t="s">
        <v>24</v>
      </c>
      <c r="K55" s="2" t="s">
        <v>33</v>
      </c>
      <c r="L55" s="2"/>
      <c r="M55" s="2"/>
      <c r="N55" s="2"/>
    </row>
    <row r="56" spans="1:14" ht="90" customHeight="1" x14ac:dyDescent="0.3">
      <c r="A56" s="2">
        <v>13</v>
      </c>
      <c r="B56" s="2" t="s">
        <v>296</v>
      </c>
      <c r="C56" s="2" t="s">
        <v>297</v>
      </c>
      <c r="D56" s="2" t="s">
        <v>298</v>
      </c>
      <c r="E56" s="2" t="s">
        <v>224</v>
      </c>
      <c r="F56" s="2" t="s">
        <v>299</v>
      </c>
      <c r="G56" s="2" t="s">
        <v>300</v>
      </c>
      <c r="H56" s="2" t="s">
        <v>301</v>
      </c>
      <c r="I56" s="2"/>
      <c r="J56" s="2" t="s">
        <v>24</v>
      </c>
      <c r="K56" s="2" t="s">
        <v>33</v>
      </c>
      <c r="L56" s="2"/>
      <c r="M56" s="2"/>
      <c r="N56" s="2"/>
    </row>
    <row r="57" spans="1:14" ht="90" customHeight="1" x14ac:dyDescent="0.3">
      <c r="A57" s="2">
        <v>14</v>
      </c>
      <c r="B57" s="2" t="s">
        <v>302</v>
      </c>
      <c r="C57" s="2" t="s">
        <v>303</v>
      </c>
      <c r="D57" s="2" t="s">
        <v>304</v>
      </c>
      <c r="E57" s="2" t="s">
        <v>224</v>
      </c>
      <c r="F57" s="2" t="s">
        <v>305</v>
      </c>
      <c r="G57" s="2" t="s">
        <v>306</v>
      </c>
      <c r="H57" s="2" t="s">
        <v>307</v>
      </c>
      <c r="I57" s="2"/>
      <c r="J57" s="2" t="s">
        <v>24</v>
      </c>
      <c r="K57" s="2" t="s">
        <v>40</v>
      </c>
      <c r="L57" s="2"/>
      <c r="M57" s="2"/>
      <c r="N57" s="2"/>
    </row>
    <row r="58" spans="1:14" ht="90" customHeight="1" x14ac:dyDescent="0.3">
      <c r="A58" s="2">
        <v>15</v>
      </c>
      <c r="B58" s="2" t="s">
        <v>308</v>
      </c>
      <c r="C58" s="2" t="s">
        <v>309</v>
      </c>
      <c r="D58" s="2" t="s">
        <v>310</v>
      </c>
      <c r="E58" s="2" t="s">
        <v>311</v>
      </c>
      <c r="F58" s="2" t="s">
        <v>312</v>
      </c>
      <c r="G58" s="2" t="s">
        <v>313</v>
      </c>
      <c r="H58" s="2" t="s">
        <v>314</v>
      </c>
      <c r="I58" s="2"/>
      <c r="J58" s="2" t="s">
        <v>24</v>
      </c>
      <c r="K58" s="2" t="s">
        <v>40</v>
      </c>
      <c r="L58" s="2"/>
      <c r="M58" s="2"/>
      <c r="N58" s="2"/>
    </row>
    <row r="60" spans="1:14" ht="19.5" customHeight="1" x14ac:dyDescent="0.3">
      <c r="A60" s="12" t="s">
        <v>315</v>
      </c>
      <c r="B60" s="13"/>
      <c r="C60" s="13"/>
      <c r="D60" s="13"/>
      <c r="E60" s="13"/>
      <c r="F60" s="13"/>
      <c r="G60" s="13"/>
      <c r="H60" s="13"/>
      <c r="I60" s="13"/>
      <c r="J60" s="13"/>
      <c r="K60" s="13"/>
      <c r="L60" s="13"/>
      <c r="M60" s="13"/>
      <c r="N60" s="13"/>
    </row>
    <row r="61" spans="1:14" ht="21.75" customHeight="1" x14ac:dyDescent="0.3">
      <c r="A61" s="1" t="s">
        <v>3</v>
      </c>
      <c r="B61" s="1" t="s">
        <v>4</v>
      </c>
      <c r="C61" s="1" t="s">
        <v>5</v>
      </c>
      <c r="D61" s="1" t="s">
        <v>6</v>
      </c>
      <c r="E61" s="1" t="s">
        <v>7</v>
      </c>
      <c r="F61" s="1" t="s">
        <v>8</v>
      </c>
      <c r="G61" s="1" t="s">
        <v>9</v>
      </c>
      <c r="H61" s="1" t="s">
        <v>10</v>
      </c>
      <c r="I61" s="1" t="s">
        <v>11</v>
      </c>
      <c r="J61" s="1" t="s">
        <v>12</v>
      </c>
      <c r="K61" s="1" t="s">
        <v>13</v>
      </c>
      <c r="L61" s="1" t="s">
        <v>14</v>
      </c>
      <c r="M61" s="1" t="s">
        <v>15</v>
      </c>
      <c r="N61" s="1" t="s">
        <v>16</v>
      </c>
    </row>
    <row r="62" spans="1:14" ht="90" customHeight="1" x14ac:dyDescent="0.3">
      <c r="A62" s="2">
        <v>1</v>
      </c>
      <c r="B62" s="2" t="s">
        <v>316</v>
      </c>
      <c r="C62" s="2" t="s">
        <v>317</v>
      </c>
      <c r="D62" s="2" t="s">
        <v>318</v>
      </c>
      <c r="E62" s="2" t="s">
        <v>319</v>
      </c>
      <c r="F62" s="2" t="s">
        <v>320</v>
      </c>
      <c r="G62" s="2" t="s">
        <v>321</v>
      </c>
      <c r="H62" s="2" t="s">
        <v>322</v>
      </c>
      <c r="I62" s="2"/>
      <c r="J62" s="2" t="s">
        <v>24</v>
      </c>
      <c r="K62" s="2" t="s">
        <v>40</v>
      </c>
      <c r="L62" s="2"/>
      <c r="M62" s="2"/>
      <c r="N62" s="2"/>
    </row>
    <row r="63" spans="1:14" ht="90" customHeight="1" x14ac:dyDescent="0.3">
      <c r="A63" s="2">
        <v>2</v>
      </c>
      <c r="B63" s="2" t="s">
        <v>323</v>
      </c>
      <c r="C63" s="2" t="s">
        <v>324</v>
      </c>
      <c r="D63" s="2" t="s">
        <v>325</v>
      </c>
      <c r="E63" s="2" t="s">
        <v>319</v>
      </c>
      <c r="F63" s="2" t="s">
        <v>326</v>
      </c>
      <c r="G63" s="2" t="s">
        <v>327</v>
      </c>
      <c r="H63" s="2" t="s">
        <v>328</v>
      </c>
      <c r="I63" s="2"/>
      <c r="J63" s="2" t="s">
        <v>24</v>
      </c>
      <c r="K63" s="2" t="s">
        <v>40</v>
      </c>
      <c r="L63" s="2"/>
      <c r="M63" s="2"/>
      <c r="N63" s="2"/>
    </row>
    <row r="64" spans="1:14" ht="90" customHeight="1" x14ac:dyDescent="0.3">
      <c r="A64" s="2">
        <v>3</v>
      </c>
      <c r="B64" s="2" t="s">
        <v>329</v>
      </c>
      <c r="C64" s="2" t="s">
        <v>330</v>
      </c>
      <c r="D64" s="2" t="s">
        <v>331</v>
      </c>
      <c r="E64" s="2" t="s">
        <v>319</v>
      </c>
      <c r="F64" s="2" t="s">
        <v>332</v>
      </c>
      <c r="G64" s="2" t="s">
        <v>31</v>
      </c>
      <c r="H64" s="2" t="s">
        <v>333</v>
      </c>
      <c r="I64" s="2"/>
      <c r="J64" s="2" t="s">
        <v>24</v>
      </c>
      <c r="K64" s="2" t="s">
        <v>33</v>
      </c>
      <c r="L64" s="2"/>
      <c r="M64" s="2"/>
      <c r="N64" s="2"/>
    </row>
    <row r="65" spans="1:14" ht="90" customHeight="1" x14ac:dyDescent="0.3">
      <c r="A65" s="2">
        <v>4</v>
      </c>
      <c r="B65" s="2" t="s">
        <v>334</v>
      </c>
      <c r="C65" s="2" t="s">
        <v>335</v>
      </c>
      <c r="D65" s="2" t="s">
        <v>336</v>
      </c>
      <c r="E65" s="2" t="s">
        <v>319</v>
      </c>
      <c r="F65" s="2" t="s">
        <v>337</v>
      </c>
      <c r="G65" s="2" t="s">
        <v>31</v>
      </c>
      <c r="H65" s="2" t="s">
        <v>338</v>
      </c>
      <c r="I65" s="2"/>
      <c r="J65" s="2" t="s">
        <v>24</v>
      </c>
      <c r="K65" s="2" t="s">
        <v>33</v>
      </c>
      <c r="L65" s="2"/>
      <c r="M65" s="2"/>
      <c r="N65" s="2" t="s">
        <v>93</v>
      </c>
    </row>
    <row r="66" spans="1:14" ht="90" customHeight="1" x14ac:dyDescent="0.3">
      <c r="A66" s="2">
        <v>5</v>
      </c>
      <c r="B66" s="2" t="s">
        <v>339</v>
      </c>
      <c r="C66" s="2" t="s">
        <v>340</v>
      </c>
      <c r="D66" s="2" t="s">
        <v>341</v>
      </c>
      <c r="E66" s="2" t="s">
        <v>319</v>
      </c>
      <c r="F66" s="2" t="s">
        <v>342</v>
      </c>
      <c r="G66" s="2" t="s">
        <v>31</v>
      </c>
      <c r="H66" s="2" t="s">
        <v>343</v>
      </c>
      <c r="I66" s="2"/>
      <c r="J66" s="2" t="s">
        <v>24</v>
      </c>
      <c r="K66" s="2" t="s">
        <v>33</v>
      </c>
      <c r="L66" s="2"/>
      <c r="M66" s="2"/>
      <c r="N66" s="2"/>
    </row>
    <row r="67" spans="1:14" ht="90" customHeight="1" x14ac:dyDescent="0.3">
      <c r="A67" s="2">
        <v>6</v>
      </c>
      <c r="B67" s="2" t="s">
        <v>344</v>
      </c>
      <c r="C67" s="2" t="s">
        <v>345</v>
      </c>
      <c r="D67" s="2" t="s">
        <v>346</v>
      </c>
      <c r="E67" s="2" t="s">
        <v>319</v>
      </c>
      <c r="F67" s="2" t="s">
        <v>347</v>
      </c>
      <c r="G67" s="2" t="s">
        <v>31</v>
      </c>
      <c r="H67" s="2" t="s">
        <v>348</v>
      </c>
      <c r="I67" s="2"/>
      <c r="J67" s="2" t="s">
        <v>24</v>
      </c>
      <c r="K67" s="2" t="s">
        <v>33</v>
      </c>
      <c r="L67" s="2"/>
      <c r="M67" s="2"/>
      <c r="N67" s="2" t="s">
        <v>349</v>
      </c>
    </row>
    <row r="68" spans="1:14" ht="90" customHeight="1" x14ac:dyDescent="0.3">
      <c r="A68" s="2">
        <v>7</v>
      </c>
      <c r="B68" s="2" t="s">
        <v>350</v>
      </c>
      <c r="C68" s="2" t="s">
        <v>351</v>
      </c>
      <c r="D68" s="2" t="s">
        <v>352</v>
      </c>
      <c r="E68" s="2" t="s">
        <v>319</v>
      </c>
      <c r="F68" s="2" t="s">
        <v>353</v>
      </c>
      <c r="G68" s="2" t="s">
        <v>31</v>
      </c>
      <c r="H68" s="2" t="s">
        <v>354</v>
      </c>
      <c r="I68" s="2"/>
      <c r="J68" s="2" t="s">
        <v>24</v>
      </c>
      <c r="K68" s="2" t="s">
        <v>33</v>
      </c>
      <c r="L68" s="2"/>
      <c r="M68" s="2"/>
      <c r="N68" s="2"/>
    </row>
    <row r="69" spans="1:14" ht="90" customHeight="1" x14ac:dyDescent="0.3">
      <c r="A69" s="2">
        <v>8</v>
      </c>
      <c r="B69" s="2" t="s">
        <v>355</v>
      </c>
      <c r="C69" s="2" t="s">
        <v>356</v>
      </c>
      <c r="D69" s="2" t="s">
        <v>357</v>
      </c>
      <c r="E69" s="2" t="s">
        <v>319</v>
      </c>
      <c r="F69" s="2" t="s">
        <v>358</v>
      </c>
      <c r="G69" s="2" t="s">
        <v>359</v>
      </c>
      <c r="H69" s="2" t="s">
        <v>360</v>
      </c>
      <c r="I69" s="2"/>
      <c r="J69" s="2" t="s">
        <v>24</v>
      </c>
      <c r="K69" s="2" t="s">
        <v>33</v>
      </c>
      <c r="L69" s="2"/>
      <c r="M69" s="2"/>
      <c r="N69" s="2"/>
    </row>
    <row r="70" spans="1:14" ht="90" customHeight="1" x14ac:dyDescent="0.3">
      <c r="A70" s="2">
        <v>9</v>
      </c>
      <c r="B70" s="2" t="s">
        <v>361</v>
      </c>
      <c r="C70" s="2" t="s">
        <v>362</v>
      </c>
      <c r="D70" s="2" t="s">
        <v>363</v>
      </c>
      <c r="E70" s="2" t="s">
        <v>319</v>
      </c>
      <c r="F70" s="2" t="s">
        <v>364</v>
      </c>
      <c r="G70" s="2" t="s">
        <v>365</v>
      </c>
      <c r="H70" s="2" t="s">
        <v>366</v>
      </c>
      <c r="I70" s="2"/>
      <c r="J70" s="2" t="s">
        <v>24</v>
      </c>
      <c r="K70" s="2" t="s">
        <v>33</v>
      </c>
      <c r="L70" s="2"/>
      <c r="M70" s="2"/>
      <c r="N70" s="2"/>
    </row>
    <row r="71" spans="1:14" ht="90" customHeight="1" x14ac:dyDescent="0.3">
      <c r="A71" s="2">
        <v>10</v>
      </c>
      <c r="B71" s="2" t="s">
        <v>367</v>
      </c>
      <c r="C71" s="2" t="s">
        <v>368</v>
      </c>
      <c r="D71" s="2" t="s">
        <v>369</v>
      </c>
      <c r="E71" s="2" t="s">
        <v>370</v>
      </c>
      <c r="F71" s="2" t="s">
        <v>371</v>
      </c>
      <c r="G71" s="2" t="s">
        <v>31</v>
      </c>
      <c r="H71" s="2" t="s">
        <v>372</v>
      </c>
      <c r="I71" s="2"/>
      <c r="J71" s="2" t="s">
        <v>24</v>
      </c>
      <c r="K71" s="2" t="s">
        <v>40</v>
      </c>
      <c r="L71" s="2"/>
      <c r="M71" s="2"/>
      <c r="N71" s="2"/>
    </row>
    <row r="73" spans="1:14" ht="19.5" customHeight="1" x14ac:dyDescent="0.3">
      <c r="A73" s="12" t="s">
        <v>373</v>
      </c>
      <c r="B73" s="13"/>
      <c r="C73" s="13"/>
      <c r="D73" s="13"/>
      <c r="E73" s="13"/>
      <c r="F73" s="13"/>
      <c r="G73" s="13"/>
      <c r="H73" s="13"/>
      <c r="I73" s="13"/>
      <c r="J73" s="13"/>
      <c r="K73" s="13"/>
      <c r="L73" s="13"/>
      <c r="M73" s="13"/>
      <c r="N73" s="13"/>
    </row>
    <row r="74" spans="1:14" ht="21.75" customHeight="1" x14ac:dyDescent="0.3">
      <c r="A74" s="1" t="s">
        <v>3</v>
      </c>
      <c r="B74" s="1" t="s">
        <v>4</v>
      </c>
      <c r="C74" s="1" t="s">
        <v>5</v>
      </c>
      <c r="D74" s="1" t="s">
        <v>6</v>
      </c>
      <c r="E74" s="1" t="s">
        <v>7</v>
      </c>
      <c r="F74" s="1" t="s">
        <v>8</v>
      </c>
      <c r="G74" s="1" t="s">
        <v>9</v>
      </c>
      <c r="H74" s="1" t="s">
        <v>10</v>
      </c>
      <c r="I74" s="1" t="s">
        <v>11</v>
      </c>
      <c r="J74" s="1" t="s">
        <v>12</v>
      </c>
      <c r="K74" s="1" t="s">
        <v>13</v>
      </c>
      <c r="L74" s="1" t="s">
        <v>14</v>
      </c>
      <c r="M74" s="1" t="s">
        <v>15</v>
      </c>
      <c r="N74" s="1" t="s">
        <v>16</v>
      </c>
    </row>
    <row r="75" spans="1:14" ht="90" customHeight="1" x14ac:dyDescent="0.3">
      <c r="A75" s="2">
        <v>1</v>
      </c>
      <c r="B75" s="2" t="s">
        <v>374</v>
      </c>
      <c r="C75" s="2" t="s">
        <v>375</v>
      </c>
      <c r="D75" s="2" t="s">
        <v>376</v>
      </c>
      <c r="E75" s="2" t="s">
        <v>377</v>
      </c>
      <c r="F75" s="2" t="s">
        <v>378</v>
      </c>
      <c r="G75" s="2" t="s">
        <v>379</v>
      </c>
      <c r="H75" s="2" t="s">
        <v>380</v>
      </c>
      <c r="I75" s="2"/>
      <c r="J75" s="2" t="s">
        <v>24</v>
      </c>
      <c r="K75" s="2" t="s">
        <v>40</v>
      </c>
      <c r="L75" s="2"/>
      <c r="M75" s="2"/>
      <c r="N75" s="2"/>
    </row>
    <row r="76" spans="1:14" ht="90" customHeight="1" x14ac:dyDescent="0.3">
      <c r="A76" s="2">
        <v>2</v>
      </c>
      <c r="B76" s="2" t="s">
        <v>381</v>
      </c>
      <c r="C76" s="2" t="s">
        <v>382</v>
      </c>
      <c r="D76" s="2" t="s">
        <v>383</v>
      </c>
      <c r="E76" s="2" t="s">
        <v>377</v>
      </c>
      <c r="F76" s="2" t="s">
        <v>384</v>
      </c>
      <c r="G76" s="2" t="s">
        <v>385</v>
      </c>
      <c r="H76" s="2" t="s">
        <v>386</v>
      </c>
      <c r="I76" s="2"/>
      <c r="J76" s="2" t="s">
        <v>24</v>
      </c>
      <c r="K76" s="2" t="s">
        <v>33</v>
      </c>
      <c r="L76" s="2"/>
      <c r="M76" s="2"/>
      <c r="N76" s="2"/>
    </row>
    <row r="77" spans="1:14" ht="90" customHeight="1" x14ac:dyDescent="0.3">
      <c r="A77" s="2">
        <v>3</v>
      </c>
      <c r="B77" s="2" t="s">
        <v>387</v>
      </c>
      <c r="C77" s="2" t="s">
        <v>388</v>
      </c>
      <c r="D77" s="2" t="s">
        <v>389</v>
      </c>
      <c r="E77" s="2" t="s">
        <v>377</v>
      </c>
      <c r="F77" s="2" t="s">
        <v>390</v>
      </c>
      <c r="G77" s="2" t="s">
        <v>391</v>
      </c>
      <c r="H77" s="2" t="s">
        <v>392</v>
      </c>
      <c r="I77" s="2"/>
      <c r="J77" s="2" t="s">
        <v>24</v>
      </c>
      <c r="K77" s="2" t="s">
        <v>40</v>
      </c>
      <c r="L77" s="2"/>
      <c r="M77" s="2"/>
      <c r="N77" s="2"/>
    </row>
    <row r="78" spans="1:14" ht="90" customHeight="1" x14ac:dyDescent="0.3">
      <c r="A78" s="2">
        <v>4</v>
      </c>
      <c r="B78" s="2" t="s">
        <v>393</v>
      </c>
      <c r="C78" s="2" t="s">
        <v>394</v>
      </c>
      <c r="D78" s="2" t="s">
        <v>395</v>
      </c>
      <c r="E78" s="2" t="s">
        <v>377</v>
      </c>
      <c r="F78" s="2" t="s">
        <v>396</v>
      </c>
      <c r="G78" s="2" t="s">
        <v>397</v>
      </c>
      <c r="H78" s="2" t="s">
        <v>398</v>
      </c>
      <c r="I78" s="2"/>
      <c r="J78" s="2" t="s">
        <v>24</v>
      </c>
      <c r="K78" s="2" t="s">
        <v>33</v>
      </c>
      <c r="L78" s="2"/>
      <c r="M78" s="2"/>
      <c r="N78" s="2"/>
    </row>
    <row r="79" spans="1:14" ht="90" customHeight="1" x14ac:dyDescent="0.3">
      <c r="A79" s="2">
        <v>5</v>
      </c>
      <c r="B79" s="2" t="s">
        <v>399</v>
      </c>
      <c r="C79" s="2" t="s">
        <v>400</v>
      </c>
      <c r="D79" s="2" t="s">
        <v>401</v>
      </c>
      <c r="E79" s="2" t="s">
        <v>377</v>
      </c>
      <c r="F79" s="2" t="s">
        <v>402</v>
      </c>
      <c r="G79" s="2" t="s">
        <v>403</v>
      </c>
      <c r="H79" s="2" t="s">
        <v>404</v>
      </c>
      <c r="I79" s="2"/>
      <c r="J79" s="2" t="s">
        <v>24</v>
      </c>
      <c r="K79" s="2" t="s">
        <v>40</v>
      </c>
      <c r="L79" s="2"/>
      <c r="M79" s="2"/>
      <c r="N79" s="2"/>
    </row>
    <row r="80" spans="1:14" ht="90" customHeight="1" x14ac:dyDescent="0.3">
      <c r="A80" s="2">
        <v>6</v>
      </c>
      <c r="B80" s="2" t="s">
        <v>405</v>
      </c>
      <c r="C80" s="2" t="s">
        <v>406</v>
      </c>
      <c r="D80" s="2" t="s">
        <v>407</v>
      </c>
      <c r="E80" s="2" t="s">
        <v>377</v>
      </c>
      <c r="F80" s="2" t="s">
        <v>408</v>
      </c>
      <c r="G80" s="2" t="s">
        <v>409</v>
      </c>
      <c r="H80" s="2" t="s">
        <v>410</v>
      </c>
      <c r="I80" s="2"/>
      <c r="J80" s="2" t="s">
        <v>24</v>
      </c>
      <c r="K80" s="2" t="s">
        <v>33</v>
      </c>
      <c r="L80" s="2"/>
      <c r="M80" s="2"/>
      <c r="N80" s="2"/>
    </row>
    <row r="81" spans="1:14" ht="90" customHeight="1" x14ac:dyDescent="0.3">
      <c r="A81" s="2">
        <v>7</v>
      </c>
      <c r="B81" s="2" t="s">
        <v>411</v>
      </c>
      <c r="C81" s="2" t="s">
        <v>412</v>
      </c>
      <c r="D81" s="2" t="s">
        <v>413</v>
      </c>
      <c r="E81" s="2" t="s">
        <v>377</v>
      </c>
      <c r="F81" s="2" t="s">
        <v>414</v>
      </c>
      <c r="G81" s="2" t="s">
        <v>415</v>
      </c>
      <c r="H81" s="2" t="s">
        <v>416</v>
      </c>
      <c r="I81" s="2"/>
      <c r="J81" s="2" t="s">
        <v>24</v>
      </c>
      <c r="K81" s="2" t="s">
        <v>33</v>
      </c>
      <c r="L81" s="2"/>
      <c r="M81" s="2"/>
      <c r="N81" s="2" t="s">
        <v>417</v>
      </c>
    </row>
    <row r="82" spans="1:14" ht="90" customHeight="1" x14ac:dyDescent="0.3">
      <c r="A82" s="2">
        <v>8</v>
      </c>
      <c r="B82" s="2" t="s">
        <v>418</v>
      </c>
      <c r="C82" s="2" t="s">
        <v>419</v>
      </c>
      <c r="D82" s="2" t="s">
        <v>420</v>
      </c>
      <c r="E82" s="2" t="s">
        <v>377</v>
      </c>
      <c r="F82" s="2" t="s">
        <v>421</v>
      </c>
      <c r="G82" s="2" t="s">
        <v>422</v>
      </c>
      <c r="H82" s="2" t="s">
        <v>423</v>
      </c>
      <c r="I82" s="2"/>
      <c r="J82" s="2" t="s">
        <v>24</v>
      </c>
      <c r="K82" s="2" t="s">
        <v>33</v>
      </c>
      <c r="L82" s="2"/>
      <c r="M82" s="2"/>
      <c r="N82" s="2"/>
    </row>
    <row r="83" spans="1:14" ht="90" customHeight="1" x14ac:dyDescent="0.3">
      <c r="A83" s="2">
        <v>9</v>
      </c>
      <c r="B83" s="2" t="s">
        <v>424</v>
      </c>
      <c r="C83" s="2" t="s">
        <v>425</v>
      </c>
      <c r="D83" s="2" t="s">
        <v>426</v>
      </c>
      <c r="E83" s="2" t="s">
        <v>377</v>
      </c>
      <c r="F83" s="2" t="s">
        <v>427</v>
      </c>
      <c r="G83" s="2" t="s">
        <v>428</v>
      </c>
      <c r="H83" s="2" t="s">
        <v>429</v>
      </c>
      <c r="I83" s="2"/>
      <c r="J83" s="2" t="s">
        <v>24</v>
      </c>
      <c r="K83" s="2" t="s">
        <v>33</v>
      </c>
      <c r="L83" s="2"/>
      <c r="M83" s="2"/>
      <c r="N83" s="2"/>
    </row>
    <row r="84" spans="1:14" ht="90" customHeight="1" x14ac:dyDescent="0.3">
      <c r="A84" s="2">
        <v>10</v>
      </c>
      <c r="B84" s="2" t="s">
        <v>430</v>
      </c>
      <c r="C84" s="2" t="s">
        <v>431</v>
      </c>
      <c r="D84" s="2" t="s">
        <v>432</v>
      </c>
      <c r="E84" s="2" t="s">
        <v>433</v>
      </c>
      <c r="F84" s="2" t="s">
        <v>434</v>
      </c>
      <c r="G84" s="2" t="s">
        <v>435</v>
      </c>
      <c r="H84" s="2" t="s">
        <v>436</v>
      </c>
      <c r="I84" s="2"/>
      <c r="J84" s="2" t="s">
        <v>24</v>
      </c>
      <c r="K84" s="2" t="s">
        <v>40</v>
      </c>
      <c r="L84" s="2"/>
      <c r="M84" s="2"/>
      <c r="N84" s="2"/>
    </row>
    <row r="85" spans="1:14" ht="90" customHeight="1" x14ac:dyDescent="0.3">
      <c r="A85" s="2">
        <v>11</v>
      </c>
      <c r="B85" s="2" t="s">
        <v>437</v>
      </c>
      <c r="C85" s="2" t="s">
        <v>438</v>
      </c>
      <c r="D85" s="2" t="s">
        <v>439</v>
      </c>
      <c r="E85" s="2" t="s">
        <v>377</v>
      </c>
      <c r="F85" s="2" t="s">
        <v>440</v>
      </c>
      <c r="G85" s="2" t="s">
        <v>441</v>
      </c>
      <c r="H85" s="2" t="s">
        <v>442</v>
      </c>
      <c r="I85" s="2"/>
      <c r="J85" s="2" t="s">
        <v>24</v>
      </c>
      <c r="K85" s="2" t="s">
        <v>33</v>
      </c>
      <c r="L85" s="2"/>
      <c r="M85" s="2"/>
      <c r="N85" s="2" t="s">
        <v>93</v>
      </c>
    </row>
    <row r="86" spans="1:14" ht="90" customHeight="1" x14ac:dyDescent="0.3">
      <c r="A86" s="2">
        <v>12</v>
      </c>
      <c r="B86" s="2" t="s">
        <v>443</v>
      </c>
      <c r="C86" s="2" t="s">
        <v>444</v>
      </c>
      <c r="D86" s="2" t="s">
        <v>445</v>
      </c>
      <c r="E86" s="2" t="s">
        <v>377</v>
      </c>
      <c r="F86" s="2" t="s">
        <v>446</v>
      </c>
      <c r="G86" s="2" t="s">
        <v>447</v>
      </c>
      <c r="H86" s="2" t="s">
        <v>448</v>
      </c>
      <c r="I86" s="2"/>
      <c r="J86" s="2" t="s">
        <v>24</v>
      </c>
      <c r="K86" s="2" t="s">
        <v>33</v>
      </c>
      <c r="L86" s="2"/>
      <c r="M86" s="2"/>
      <c r="N86" s="2"/>
    </row>
    <row r="88" spans="1:14" ht="19.5" customHeight="1" x14ac:dyDescent="0.3">
      <c r="A88" s="12" t="s">
        <v>449</v>
      </c>
      <c r="B88" s="13"/>
      <c r="C88" s="13"/>
      <c r="D88" s="13"/>
      <c r="E88" s="13"/>
      <c r="F88" s="13"/>
      <c r="G88" s="13"/>
      <c r="H88" s="13"/>
      <c r="I88" s="13"/>
      <c r="J88" s="13"/>
      <c r="K88" s="13"/>
      <c r="L88" s="13"/>
      <c r="M88" s="13"/>
      <c r="N88" s="13"/>
    </row>
    <row r="89" spans="1:14" ht="21.75" customHeight="1" x14ac:dyDescent="0.3">
      <c r="A89" s="1" t="s">
        <v>3</v>
      </c>
      <c r="B89" s="1" t="s">
        <v>4</v>
      </c>
      <c r="C89" s="1" t="s">
        <v>5</v>
      </c>
      <c r="D89" s="1" t="s">
        <v>6</v>
      </c>
      <c r="E89" s="1" t="s">
        <v>7</v>
      </c>
      <c r="F89" s="1" t="s">
        <v>8</v>
      </c>
      <c r="G89" s="1" t="s">
        <v>9</v>
      </c>
      <c r="H89" s="1" t="s">
        <v>10</v>
      </c>
      <c r="I89" s="1" t="s">
        <v>11</v>
      </c>
      <c r="J89" s="1" t="s">
        <v>12</v>
      </c>
      <c r="K89" s="1" t="s">
        <v>13</v>
      </c>
      <c r="L89" s="1" t="s">
        <v>14</v>
      </c>
      <c r="M89" s="1" t="s">
        <v>15</v>
      </c>
      <c r="N89" s="1" t="s">
        <v>16</v>
      </c>
    </row>
    <row r="90" spans="1:14" ht="90" customHeight="1" x14ac:dyDescent="0.3">
      <c r="A90" s="2">
        <v>1</v>
      </c>
      <c r="B90" s="2" t="s">
        <v>450</v>
      </c>
      <c r="C90" s="2" t="s">
        <v>451</v>
      </c>
      <c r="D90" s="2" t="s">
        <v>452</v>
      </c>
      <c r="E90" s="2" t="s">
        <v>453</v>
      </c>
      <c r="F90" s="2" t="s">
        <v>454</v>
      </c>
      <c r="G90" s="2" t="s">
        <v>455</v>
      </c>
      <c r="H90" s="2" t="s">
        <v>456</v>
      </c>
      <c r="I90" s="2"/>
      <c r="J90" s="2" t="s">
        <v>24</v>
      </c>
      <c r="K90" s="2" t="s">
        <v>40</v>
      </c>
      <c r="L90" s="2"/>
      <c r="M90" s="2"/>
      <c r="N90" s="2"/>
    </row>
    <row r="91" spans="1:14" ht="90" customHeight="1" x14ac:dyDescent="0.3">
      <c r="A91" s="2">
        <v>2</v>
      </c>
      <c r="B91" s="2" t="s">
        <v>457</v>
      </c>
      <c r="C91" s="2" t="s">
        <v>458</v>
      </c>
      <c r="D91" s="2" t="s">
        <v>459</v>
      </c>
      <c r="E91" s="2" t="s">
        <v>453</v>
      </c>
      <c r="F91" s="2" t="s">
        <v>460</v>
      </c>
      <c r="G91" s="2" t="s">
        <v>461</v>
      </c>
      <c r="H91" s="2" t="s">
        <v>462</v>
      </c>
      <c r="I91" s="2"/>
      <c r="J91" s="2" t="s">
        <v>24</v>
      </c>
      <c r="K91" s="2" t="s">
        <v>40</v>
      </c>
      <c r="L91" s="2"/>
      <c r="M91" s="2"/>
      <c r="N91" s="2"/>
    </row>
    <row r="92" spans="1:14" ht="90" customHeight="1" x14ac:dyDescent="0.3">
      <c r="A92" s="2">
        <v>3</v>
      </c>
      <c r="B92" s="2" t="s">
        <v>463</v>
      </c>
      <c r="C92" s="2" t="s">
        <v>464</v>
      </c>
      <c r="D92" s="2" t="s">
        <v>465</v>
      </c>
      <c r="E92" s="2" t="s">
        <v>453</v>
      </c>
      <c r="F92" s="2" t="s">
        <v>466</v>
      </c>
      <c r="G92" s="2" t="s">
        <v>467</v>
      </c>
      <c r="H92" s="2" t="s">
        <v>468</v>
      </c>
      <c r="I92" s="2"/>
      <c r="J92" s="2" t="s">
        <v>24</v>
      </c>
      <c r="K92" s="2" t="s">
        <v>33</v>
      </c>
      <c r="L92" s="2"/>
      <c r="M92" s="2"/>
      <c r="N92" s="2"/>
    </row>
    <row r="93" spans="1:14" ht="90" customHeight="1" x14ac:dyDescent="0.3">
      <c r="A93" s="2">
        <v>4</v>
      </c>
      <c r="B93" s="2" t="s">
        <v>469</v>
      </c>
      <c r="C93" s="2" t="s">
        <v>470</v>
      </c>
      <c r="D93" s="2" t="s">
        <v>471</v>
      </c>
      <c r="E93" s="2" t="s">
        <v>453</v>
      </c>
      <c r="F93" s="2" t="s">
        <v>472</v>
      </c>
      <c r="G93" s="2" t="s">
        <v>473</v>
      </c>
      <c r="H93" s="2" t="s">
        <v>474</v>
      </c>
      <c r="I93" s="2"/>
      <c r="J93" s="2" t="s">
        <v>24</v>
      </c>
      <c r="K93" s="2" t="s">
        <v>33</v>
      </c>
      <c r="L93" s="2"/>
      <c r="M93" s="2"/>
      <c r="N93" s="2"/>
    </row>
    <row r="94" spans="1:14" ht="90" customHeight="1" x14ac:dyDescent="0.3">
      <c r="A94" s="2">
        <v>5</v>
      </c>
      <c r="B94" s="2" t="s">
        <v>475</v>
      </c>
      <c r="C94" s="2" t="s">
        <v>476</v>
      </c>
      <c r="D94" s="2" t="s">
        <v>477</v>
      </c>
      <c r="E94" s="2" t="s">
        <v>453</v>
      </c>
      <c r="F94" s="2" t="s">
        <v>478</v>
      </c>
      <c r="G94" s="2" t="s">
        <v>479</v>
      </c>
      <c r="H94" s="2" t="s">
        <v>480</v>
      </c>
      <c r="I94" s="2"/>
      <c r="J94" s="2" t="s">
        <v>24</v>
      </c>
      <c r="K94" s="2" t="s">
        <v>33</v>
      </c>
      <c r="L94" s="2"/>
      <c r="M94" s="2"/>
      <c r="N94" s="2"/>
    </row>
    <row r="95" spans="1:14" ht="90" customHeight="1" x14ac:dyDescent="0.3">
      <c r="A95" s="2">
        <v>6</v>
      </c>
      <c r="B95" s="2" t="s">
        <v>481</v>
      </c>
      <c r="C95" s="2" t="s">
        <v>482</v>
      </c>
      <c r="D95" s="2" t="s">
        <v>483</v>
      </c>
      <c r="E95" s="2" t="s">
        <v>453</v>
      </c>
      <c r="F95" s="2" t="s">
        <v>484</v>
      </c>
      <c r="G95" s="2" t="s">
        <v>485</v>
      </c>
      <c r="H95" s="2" t="s">
        <v>486</v>
      </c>
      <c r="I95" s="2"/>
      <c r="J95" s="2" t="s">
        <v>24</v>
      </c>
      <c r="K95" s="2" t="s">
        <v>33</v>
      </c>
      <c r="L95" s="2"/>
      <c r="M95" s="2"/>
      <c r="N95" s="2"/>
    </row>
    <row r="96" spans="1:14" ht="90" customHeight="1" x14ac:dyDescent="0.3">
      <c r="A96" s="2">
        <v>7</v>
      </c>
      <c r="B96" s="2" t="s">
        <v>487</v>
      </c>
      <c r="C96" s="2" t="s">
        <v>488</v>
      </c>
      <c r="D96" s="2" t="s">
        <v>489</v>
      </c>
      <c r="E96" s="2" t="s">
        <v>453</v>
      </c>
      <c r="F96" s="2" t="s">
        <v>490</v>
      </c>
      <c r="G96" s="2" t="s">
        <v>491</v>
      </c>
      <c r="H96" s="2" t="s">
        <v>492</v>
      </c>
      <c r="I96" s="2"/>
      <c r="J96" s="2" t="s">
        <v>24</v>
      </c>
      <c r="K96" s="2" t="s">
        <v>40</v>
      </c>
      <c r="L96" s="2"/>
      <c r="M96" s="2"/>
      <c r="N96" s="2"/>
    </row>
    <row r="97" spans="1:14" ht="90" customHeight="1" x14ac:dyDescent="0.3">
      <c r="A97" s="2">
        <v>8</v>
      </c>
      <c r="B97" s="2" t="s">
        <v>493</v>
      </c>
      <c r="C97" s="2" t="s">
        <v>494</v>
      </c>
      <c r="D97" s="2" t="s">
        <v>495</v>
      </c>
      <c r="E97" s="2" t="s">
        <v>453</v>
      </c>
      <c r="F97" s="2" t="s">
        <v>496</v>
      </c>
      <c r="G97" s="2" t="s">
        <v>497</v>
      </c>
      <c r="H97" s="2" t="s">
        <v>498</v>
      </c>
      <c r="I97" s="2"/>
      <c r="J97" s="2" t="s">
        <v>24</v>
      </c>
      <c r="K97" s="2" t="s">
        <v>33</v>
      </c>
      <c r="L97" s="2"/>
      <c r="M97" s="2"/>
      <c r="N97" s="2"/>
    </row>
    <row r="98" spans="1:14" ht="90" customHeight="1" x14ac:dyDescent="0.3">
      <c r="A98" s="2">
        <v>9</v>
      </c>
      <c r="B98" s="2" t="s">
        <v>499</v>
      </c>
      <c r="C98" s="2" t="s">
        <v>500</v>
      </c>
      <c r="D98" s="2" t="s">
        <v>501</v>
      </c>
      <c r="E98" s="2" t="s">
        <v>453</v>
      </c>
      <c r="F98" s="2" t="s">
        <v>502</v>
      </c>
      <c r="G98" s="2" t="s">
        <v>503</v>
      </c>
      <c r="H98" s="2" t="s">
        <v>504</v>
      </c>
      <c r="I98" s="2"/>
      <c r="J98" s="2" t="s">
        <v>24</v>
      </c>
      <c r="K98" s="2" t="s">
        <v>25</v>
      </c>
      <c r="L98" s="2"/>
      <c r="M98" s="2"/>
      <c r="N98" s="2" t="s">
        <v>289</v>
      </c>
    </row>
    <row r="99" spans="1:14" ht="90" customHeight="1" x14ac:dyDescent="0.3">
      <c r="A99" s="2">
        <v>10</v>
      </c>
      <c r="B99" s="2" t="s">
        <v>505</v>
      </c>
      <c r="C99" s="2" t="s">
        <v>506</v>
      </c>
      <c r="D99" s="2" t="s">
        <v>507</v>
      </c>
      <c r="E99" s="2" t="s">
        <v>508</v>
      </c>
      <c r="F99" s="2" t="s">
        <v>509</v>
      </c>
      <c r="G99" s="2" t="s">
        <v>510</v>
      </c>
      <c r="H99" s="2" t="s">
        <v>511</v>
      </c>
      <c r="I99" s="2"/>
      <c r="J99" s="2" t="s">
        <v>24</v>
      </c>
      <c r="K99" s="2" t="s">
        <v>40</v>
      </c>
      <c r="L99" s="2"/>
      <c r="M99" s="2"/>
      <c r="N99" s="2"/>
    </row>
    <row r="101" spans="1:14" ht="19.5" customHeight="1" x14ac:dyDescent="0.3">
      <c r="A101" s="12" t="s">
        <v>512</v>
      </c>
      <c r="B101" s="13"/>
      <c r="C101" s="13"/>
      <c r="D101" s="13"/>
      <c r="E101" s="13"/>
      <c r="F101" s="13"/>
      <c r="G101" s="13"/>
      <c r="H101" s="13"/>
      <c r="I101" s="13"/>
      <c r="J101" s="13"/>
      <c r="K101" s="13"/>
      <c r="L101" s="13"/>
      <c r="M101" s="13"/>
      <c r="N101" s="13"/>
    </row>
    <row r="102" spans="1:14" ht="21.75" customHeight="1" x14ac:dyDescent="0.3">
      <c r="A102" s="1" t="s">
        <v>3</v>
      </c>
      <c r="B102" s="1" t="s">
        <v>4</v>
      </c>
      <c r="C102" s="1" t="s">
        <v>5</v>
      </c>
      <c r="D102" s="1" t="s">
        <v>6</v>
      </c>
      <c r="E102" s="1" t="s">
        <v>7</v>
      </c>
      <c r="F102" s="1" t="s">
        <v>8</v>
      </c>
      <c r="G102" s="1" t="s">
        <v>9</v>
      </c>
      <c r="H102" s="1" t="s">
        <v>10</v>
      </c>
      <c r="I102" s="1" t="s">
        <v>11</v>
      </c>
      <c r="J102" s="1" t="s">
        <v>12</v>
      </c>
      <c r="K102" s="1" t="s">
        <v>13</v>
      </c>
      <c r="L102" s="1" t="s">
        <v>14</v>
      </c>
      <c r="M102" s="1" t="s">
        <v>15</v>
      </c>
      <c r="N102" s="1" t="s">
        <v>16</v>
      </c>
    </row>
    <row r="103" spans="1:14" ht="90" customHeight="1" x14ac:dyDescent="0.3">
      <c r="A103" s="2">
        <v>1</v>
      </c>
      <c r="B103" s="2" t="s">
        <v>513</v>
      </c>
      <c r="C103" s="2" t="s">
        <v>514</v>
      </c>
      <c r="D103" s="2" t="s">
        <v>515</v>
      </c>
      <c r="E103" s="2" t="s">
        <v>516</v>
      </c>
      <c r="F103" s="2" t="s">
        <v>517</v>
      </c>
      <c r="G103" s="2" t="s">
        <v>100</v>
      </c>
      <c r="H103" s="2" t="s">
        <v>518</v>
      </c>
      <c r="I103" s="2"/>
      <c r="J103" s="2" t="s">
        <v>24</v>
      </c>
      <c r="K103" s="2" t="s">
        <v>40</v>
      </c>
      <c r="L103" s="2"/>
      <c r="M103" s="2"/>
      <c r="N103" s="2"/>
    </row>
    <row r="104" spans="1:14" ht="90" customHeight="1" x14ac:dyDescent="0.3">
      <c r="A104" s="2">
        <v>2</v>
      </c>
      <c r="B104" s="2" t="s">
        <v>519</v>
      </c>
      <c r="C104" s="2" t="s">
        <v>520</v>
      </c>
      <c r="D104" s="2" t="s">
        <v>521</v>
      </c>
      <c r="E104" s="2" t="s">
        <v>516</v>
      </c>
      <c r="F104" s="2" t="s">
        <v>522</v>
      </c>
      <c r="G104" s="2" t="s">
        <v>523</v>
      </c>
      <c r="H104" s="2" t="s">
        <v>524</v>
      </c>
      <c r="I104" s="2"/>
      <c r="J104" s="2" t="s">
        <v>24</v>
      </c>
      <c r="K104" s="2" t="s">
        <v>40</v>
      </c>
      <c r="L104" s="2"/>
      <c r="M104" s="2"/>
      <c r="N104" s="2"/>
    </row>
    <row r="105" spans="1:14" ht="90" customHeight="1" x14ac:dyDescent="0.3">
      <c r="A105" s="2">
        <v>3</v>
      </c>
      <c r="B105" s="2" t="s">
        <v>525</v>
      </c>
      <c r="C105" s="2" t="s">
        <v>526</v>
      </c>
      <c r="D105" s="2" t="s">
        <v>527</v>
      </c>
      <c r="E105" s="2" t="s">
        <v>516</v>
      </c>
      <c r="F105" s="2" t="s">
        <v>528</v>
      </c>
      <c r="G105" s="2" t="s">
        <v>529</v>
      </c>
      <c r="H105" s="2" t="s">
        <v>530</v>
      </c>
      <c r="I105" s="2"/>
      <c r="J105" s="2" t="s">
        <v>24</v>
      </c>
      <c r="K105" s="2" t="s">
        <v>40</v>
      </c>
      <c r="L105" s="2"/>
      <c r="M105" s="2"/>
      <c r="N105" s="2"/>
    </row>
    <row r="106" spans="1:14" ht="90" customHeight="1" x14ac:dyDescent="0.3">
      <c r="A106" s="2">
        <v>4</v>
      </c>
      <c r="B106" s="2" t="s">
        <v>531</v>
      </c>
      <c r="C106" s="2" t="s">
        <v>532</v>
      </c>
      <c r="D106" s="2" t="s">
        <v>533</v>
      </c>
      <c r="E106" s="2" t="s">
        <v>516</v>
      </c>
      <c r="F106" s="2" t="s">
        <v>534</v>
      </c>
      <c r="G106" s="2" t="s">
        <v>535</v>
      </c>
      <c r="H106" s="2" t="s">
        <v>536</v>
      </c>
      <c r="I106" s="2"/>
      <c r="J106" s="2" t="s">
        <v>24</v>
      </c>
      <c r="K106" s="2" t="s">
        <v>33</v>
      </c>
      <c r="L106" s="2"/>
      <c r="M106" s="2"/>
      <c r="N106" s="2"/>
    </row>
    <row r="107" spans="1:14" ht="90" customHeight="1" x14ac:dyDescent="0.3">
      <c r="A107" s="2">
        <v>5</v>
      </c>
      <c r="B107" s="2" t="s">
        <v>537</v>
      </c>
      <c r="C107" s="2" t="s">
        <v>538</v>
      </c>
      <c r="D107" s="2" t="s">
        <v>539</v>
      </c>
      <c r="E107" s="2" t="s">
        <v>516</v>
      </c>
      <c r="F107" s="2" t="s">
        <v>540</v>
      </c>
      <c r="G107" s="2" t="s">
        <v>541</v>
      </c>
      <c r="H107" s="2" t="s">
        <v>542</v>
      </c>
      <c r="I107" s="2"/>
      <c r="J107" s="2" t="s">
        <v>24</v>
      </c>
      <c r="K107" s="2" t="s">
        <v>33</v>
      </c>
      <c r="L107" s="2"/>
      <c r="M107" s="2"/>
      <c r="N107" s="2"/>
    </row>
    <row r="108" spans="1:14" ht="90" customHeight="1" x14ac:dyDescent="0.3">
      <c r="A108" s="2">
        <v>6</v>
      </c>
      <c r="B108" s="2" t="s">
        <v>543</v>
      </c>
      <c r="C108" s="2" t="s">
        <v>544</v>
      </c>
      <c r="D108" s="2" t="s">
        <v>545</v>
      </c>
      <c r="E108" s="2" t="s">
        <v>516</v>
      </c>
      <c r="F108" s="2" t="s">
        <v>546</v>
      </c>
      <c r="G108" s="2" t="s">
        <v>45</v>
      </c>
      <c r="H108" s="2" t="s">
        <v>547</v>
      </c>
      <c r="I108" s="2"/>
      <c r="J108" s="2" t="s">
        <v>24</v>
      </c>
      <c r="K108" s="2" t="s">
        <v>40</v>
      </c>
      <c r="L108" s="2"/>
      <c r="M108" s="2"/>
      <c r="N108" s="2" t="s">
        <v>114</v>
      </c>
    </row>
    <row r="109" spans="1:14" ht="90" customHeight="1" x14ac:dyDescent="0.3">
      <c r="A109" s="2">
        <v>7</v>
      </c>
      <c r="B109" s="2" t="s">
        <v>548</v>
      </c>
      <c r="C109" s="2" t="s">
        <v>549</v>
      </c>
      <c r="D109" s="2" t="s">
        <v>550</v>
      </c>
      <c r="E109" s="2" t="s">
        <v>516</v>
      </c>
      <c r="F109" s="2" t="s">
        <v>551</v>
      </c>
      <c r="G109" s="2" t="s">
        <v>552</v>
      </c>
      <c r="H109" s="2" t="s">
        <v>553</v>
      </c>
      <c r="I109" s="2"/>
      <c r="J109" s="2" t="s">
        <v>24</v>
      </c>
      <c r="K109" s="2" t="s">
        <v>33</v>
      </c>
      <c r="L109" s="2"/>
      <c r="M109" s="2"/>
      <c r="N109" s="2"/>
    </row>
    <row r="110" spans="1:14" ht="90" customHeight="1" x14ac:dyDescent="0.3">
      <c r="A110" s="2">
        <v>8</v>
      </c>
      <c r="B110" s="2" t="s">
        <v>554</v>
      </c>
      <c r="C110" s="2" t="s">
        <v>555</v>
      </c>
      <c r="D110" s="2" t="s">
        <v>556</v>
      </c>
      <c r="E110" s="2" t="s">
        <v>516</v>
      </c>
      <c r="F110" s="2" t="s">
        <v>557</v>
      </c>
      <c r="G110" s="2" t="s">
        <v>558</v>
      </c>
      <c r="H110" s="2" t="s">
        <v>559</v>
      </c>
      <c r="I110" s="2"/>
      <c r="J110" s="2" t="s">
        <v>24</v>
      </c>
      <c r="K110" s="2" t="s">
        <v>33</v>
      </c>
      <c r="L110" s="2"/>
      <c r="M110" s="2"/>
      <c r="N110" s="2"/>
    </row>
    <row r="111" spans="1:14" ht="90" customHeight="1" x14ac:dyDescent="0.3">
      <c r="A111" s="2">
        <v>9</v>
      </c>
      <c r="B111" s="2" t="s">
        <v>560</v>
      </c>
      <c r="C111" s="2" t="s">
        <v>561</v>
      </c>
      <c r="D111" s="2" t="s">
        <v>562</v>
      </c>
      <c r="E111" s="2" t="s">
        <v>516</v>
      </c>
      <c r="F111" s="2" t="s">
        <v>563</v>
      </c>
      <c r="G111" s="2" t="s">
        <v>529</v>
      </c>
      <c r="H111" s="2" t="s">
        <v>564</v>
      </c>
      <c r="I111" s="2"/>
      <c r="J111" s="2" t="s">
        <v>24</v>
      </c>
      <c r="K111" s="2" t="s">
        <v>33</v>
      </c>
      <c r="L111" s="2"/>
      <c r="M111" s="2"/>
      <c r="N111" s="2"/>
    </row>
    <row r="112" spans="1:14" ht="90" customHeight="1" x14ac:dyDescent="0.3">
      <c r="A112" s="2">
        <v>10</v>
      </c>
      <c r="B112" s="2" t="s">
        <v>565</v>
      </c>
      <c r="C112" s="2" t="s">
        <v>566</v>
      </c>
      <c r="D112" s="2" t="s">
        <v>567</v>
      </c>
      <c r="E112" s="2" t="s">
        <v>516</v>
      </c>
      <c r="F112" s="2" t="s">
        <v>568</v>
      </c>
      <c r="G112" s="2" t="s">
        <v>569</v>
      </c>
      <c r="H112" s="2" t="s">
        <v>570</v>
      </c>
      <c r="I112" s="2"/>
      <c r="J112" s="2" t="s">
        <v>24</v>
      </c>
      <c r="K112" s="2" t="s">
        <v>33</v>
      </c>
      <c r="L112" s="2"/>
      <c r="M112" s="2"/>
      <c r="N112" s="2"/>
    </row>
    <row r="113" spans="1:14" ht="90" customHeight="1" x14ac:dyDescent="0.3">
      <c r="A113" s="2">
        <v>11</v>
      </c>
      <c r="B113" s="2" t="s">
        <v>571</v>
      </c>
      <c r="C113" s="2" t="s">
        <v>572</v>
      </c>
      <c r="D113" s="2" t="s">
        <v>573</v>
      </c>
      <c r="E113" s="2" t="s">
        <v>516</v>
      </c>
      <c r="F113" s="2" t="s">
        <v>574</v>
      </c>
      <c r="G113" s="2" t="s">
        <v>575</v>
      </c>
      <c r="H113" s="2" t="s">
        <v>576</v>
      </c>
      <c r="I113" s="2"/>
      <c r="J113" s="2" t="s">
        <v>24</v>
      </c>
      <c r="K113" s="2" t="s">
        <v>33</v>
      </c>
      <c r="L113" s="2"/>
      <c r="M113" s="2"/>
      <c r="N113" s="2" t="s">
        <v>577</v>
      </c>
    </row>
    <row r="114" spans="1:14" ht="90" customHeight="1" x14ac:dyDescent="0.3">
      <c r="A114" s="2">
        <v>12</v>
      </c>
      <c r="B114" s="2" t="s">
        <v>578</v>
      </c>
      <c r="C114" s="2" t="s">
        <v>579</v>
      </c>
      <c r="D114" s="2" t="s">
        <v>580</v>
      </c>
      <c r="E114" s="2" t="s">
        <v>516</v>
      </c>
      <c r="F114" s="2" t="s">
        <v>581</v>
      </c>
      <c r="G114" s="2" t="s">
        <v>582</v>
      </c>
      <c r="H114" s="2" t="s">
        <v>583</v>
      </c>
      <c r="I114" s="2"/>
      <c r="J114" s="2" t="s">
        <v>24</v>
      </c>
      <c r="K114" s="2" t="s">
        <v>33</v>
      </c>
      <c r="L114" s="2"/>
      <c r="M114" s="2"/>
      <c r="N114" s="2"/>
    </row>
    <row r="115" spans="1:14" ht="90" customHeight="1" x14ac:dyDescent="0.3">
      <c r="A115" s="2">
        <v>13</v>
      </c>
      <c r="B115" s="2" t="s">
        <v>584</v>
      </c>
      <c r="C115" s="2" t="s">
        <v>585</v>
      </c>
      <c r="D115" s="2" t="s">
        <v>586</v>
      </c>
      <c r="E115" s="2" t="s">
        <v>516</v>
      </c>
      <c r="F115" s="2" t="s">
        <v>587</v>
      </c>
      <c r="G115" s="2" t="s">
        <v>588</v>
      </c>
      <c r="H115" s="2" t="s">
        <v>589</v>
      </c>
      <c r="I115" s="2"/>
      <c r="J115" s="2" t="s">
        <v>24</v>
      </c>
      <c r="K115" s="2" t="s">
        <v>33</v>
      </c>
      <c r="L115" s="2"/>
      <c r="M115" s="2"/>
      <c r="N115" s="2"/>
    </row>
    <row r="116" spans="1:14" ht="90" customHeight="1" x14ac:dyDescent="0.3">
      <c r="A116" s="2">
        <v>14</v>
      </c>
      <c r="B116" s="2" t="s">
        <v>590</v>
      </c>
      <c r="C116" s="2" t="s">
        <v>591</v>
      </c>
      <c r="D116" s="2" t="s">
        <v>592</v>
      </c>
      <c r="E116" s="2" t="s">
        <v>593</v>
      </c>
      <c r="F116" s="2" t="s">
        <v>594</v>
      </c>
      <c r="G116" s="2" t="s">
        <v>595</v>
      </c>
      <c r="H116" s="2" t="s">
        <v>596</v>
      </c>
      <c r="I116" s="2"/>
      <c r="J116" s="2" t="s">
        <v>24</v>
      </c>
      <c r="K116" s="2" t="s">
        <v>40</v>
      </c>
      <c r="L116" s="2"/>
      <c r="M116" s="2"/>
      <c r="N116" s="2"/>
    </row>
    <row r="118" spans="1:14" ht="19.5" customHeight="1" x14ac:dyDescent="0.3">
      <c r="A118" s="12" t="s">
        <v>597</v>
      </c>
      <c r="B118" s="13"/>
      <c r="C118" s="13"/>
      <c r="D118" s="13"/>
      <c r="E118" s="13"/>
      <c r="F118" s="13"/>
      <c r="G118" s="13"/>
      <c r="H118" s="13"/>
      <c r="I118" s="13"/>
      <c r="J118" s="13"/>
      <c r="K118" s="13"/>
      <c r="L118" s="13"/>
      <c r="M118" s="13"/>
      <c r="N118" s="13"/>
    </row>
    <row r="119" spans="1:14" ht="21.75" customHeight="1" x14ac:dyDescent="0.3">
      <c r="A119" s="1" t="s">
        <v>3</v>
      </c>
      <c r="B119" s="1" t="s">
        <v>4</v>
      </c>
      <c r="C119" s="1" t="s">
        <v>5</v>
      </c>
      <c r="D119" s="1" t="s">
        <v>6</v>
      </c>
      <c r="E119" s="1" t="s">
        <v>7</v>
      </c>
      <c r="F119" s="1" t="s">
        <v>8</v>
      </c>
      <c r="G119" s="1" t="s">
        <v>9</v>
      </c>
      <c r="H119" s="1" t="s">
        <v>10</v>
      </c>
      <c r="I119" s="1" t="s">
        <v>11</v>
      </c>
      <c r="J119" s="1" t="s">
        <v>12</v>
      </c>
      <c r="K119" s="1" t="s">
        <v>13</v>
      </c>
      <c r="L119" s="1" t="s">
        <v>14</v>
      </c>
      <c r="M119" s="1" t="s">
        <v>15</v>
      </c>
      <c r="N119" s="1" t="s">
        <v>16</v>
      </c>
    </row>
    <row r="120" spans="1:14" ht="90" customHeight="1" x14ac:dyDescent="0.3">
      <c r="A120" s="2">
        <v>1</v>
      </c>
      <c r="B120" s="2" t="s">
        <v>598</v>
      </c>
      <c r="C120" s="2" t="s">
        <v>599</v>
      </c>
      <c r="D120" s="2" t="s">
        <v>600</v>
      </c>
      <c r="E120" s="2" t="s">
        <v>601</v>
      </c>
      <c r="F120" s="2" t="s">
        <v>602</v>
      </c>
      <c r="G120" s="2" t="s">
        <v>603</v>
      </c>
      <c r="H120" s="2" t="s">
        <v>604</v>
      </c>
      <c r="I120" s="2"/>
      <c r="J120" s="2" t="s">
        <v>24</v>
      </c>
      <c r="K120" s="2" t="s">
        <v>40</v>
      </c>
      <c r="L120" s="2"/>
      <c r="M120" s="2"/>
      <c r="N120" s="2"/>
    </row>
    <row r="121" spans="1:14" ht="90" customHeight="1" x14ac:dyDescent="0.3">
      <c r="A121" s="2">
        <v>2</v>
      </c>
      <c r="B121" s="2" t="s">
        <v>605</v>
      </c>
      <c r="C121" s="2" t="s">
        <v>606</v>
      </c>
      <c r="D121" s="2" t="s">
        <v>607</v>
      </c>
      <c r="E121" s="2" t="s">
        <v>601</v>
      </c>
      <c r="F121" s="2" t="s">
        <v>608</v>
      </c>
      <c r="G121" s="2" t="s">
        <v>609</v>
      </c>
      <c r="H121" s="2" t="s">
        <v>610</v>
      </c>
      <c r="I121" s="2"/>
      <c r="J121" s="2" t="s">
        <v>24</v>
      </c>
      <c r="K121" s="2" t="s">
        <v>40</v>
      </c>
      <c r="L121" s="2"/>
      <c r="M121" s="2"/>
      <c r="N121" s="2"/>
    </row>
    <row r="122" spans="1:14" ht="90" customHeight="1" x14ac:dyDescent="0.3">
      <c r="A122" s="2">
        <v>3</v>
      </c>
      <c r="B122" s="2" t="s">
        <v>611</v>
      </c>
      <c r="C122" s="2" t="s">
        <v>612</v>
      </c>
      <c r="D122" s="2" t="s">
        <v>613</v>
      </c>
      <c r="E122" s="2" t="s">
        <v>601</v>
      </c>
      <c r="F122" s="2" t="s">
        <v>614</v>
      </c>
      <c r="G122" s="2" t="s">
        <v>615</v>
      </c>
      <c r="H122" s="2" t="s">
        <v>616</v>
      </c>
      <c r="I122" s="2"/>
      <c r="J122" s="2" t="s">
        <v>24</v>
      </c>
      <c r="K122" s="2" t="s">
        <v>40</v>
      </c>
      <c r="L122" s="2"/>
      <c r="M122" s="2"/>
      <c r="N122" s="2"/>
    </row>
    <row r="123" spans="1:14" ht="90" customHeight="1" x14ac:dyDescent="0.3">
      <c r="A123" s="2">
        <v>4</v>
      </c>
      <c r="B123" s="2" t="s">
        <v>617</v>
      </c>
      <c r="C123" s="2" t="s">
        <v>618</v>
      </c>
      <c r="D123" s="2" t="s">
        <v>619</v>
      </c>
      <c r="E123" s="2" t="s">
        <v>601</v>
      </c>
      <c r="F123" s="2" t="s">
        <v>620</v>
      </c>
      <c r="G123" s="2" t="s">
        <v>621</v>
      </c>
      <c r="H123" s="2" t="s">
        <v>622</v>
      </c>
      <c r="I123" s="2"/>
      <c r="J123" s="2" t="s">
        <v>24</v>
      </c>
      <c r="K123" s="2" t="s">
        <v>33</v>
      </c>
      <c r="L123" s="2"/>
      <c r="M123" s="2"/>
      <c r="N123" s="2"/>
    </row>
    <row r="124" spans="1:14" ht="90" customHeight="1" x14ac:dyDescent="0.3">
      <c r="A124" s="2">
        <v>5</v>
      </c>
      <c r="B124" s="2" t="s">
        <v>623</v>
      </c>
      <c r="C124" s="2" t="s">
        <v>624</v>
      </c>
      <c r="D124" s="2" t="s">
        <v>625</v>
      </c>
      <c r="E124" s="2" t="s">
        <v>601</v>
      </c>
      <c r="F124" s="2" t="s">
        <v>626</v>
      </c>
      <c r="G124" s="2" t="s">
        <v>569</v>
      </c>
      <c r="H124" s="2" t="s">
        <v>627</v>
      </c>
      <c r="I124" s="2"/>
      <c r="J124" s="2" t="s">
        <v>24</v>
      </c>
      <c r="K124" s="2" t="s">
        <v>33</v>
      </c>
      <c r="L124" s="2"/>
      <c r="M124" s="2"/>
      <c r="N124" s="2"/>
    </row>
    <row r="125" spans="1:14" ht="90" customHeight="1" x14ac:dyDescent="0.3">
      <c r="A125" s="2">
        <v>6</v>
      </c>
      <c r="B125" s="2" t="s">
        <v>628</v>
      </c>
      <c r="C125" s="2" t="s">
        <v>629</v>
      </c>
      <c r="D125" s="2" t="s">
        <v>630</v>
      </c>
      <c r="E125" s="2" t="s">
        <v>601</v>
      </c>
      <c r="F125" s="2" t="s">
        <v>631</v>
      </c>
      <c r="G125" s="2" t="s">
        <v>632</v>
      </c>
      <c r="H125" s="2" t="s">
        <v>633</v>
      </c>
      <c r="I125" s="2"/>
      <c r="J125" s="2" t="s">
        <v>24</v>
      </c>
      <c r="K125" s="2" t="s">
        <v>33</v>
      </c>
      <c r="L125" s="2"/>
      <c r="M125" s="2"/>
      <c r="N125" s="2"/>
    </row>
    <row r="126" spans="1:14" ht="90" customHeight="1" x14ac:dyDescent="0.3">
      <c r="A126" s="2">
        <v>7</v>
      </c>
      <c r="B126" s="2" t="s">
        <v>634</v>
      </c>
      <c r="C126" s="2" t="s">
        <v>635</v>
      </c>
      <c r="D126" s="2" t="s">
        <v>636</v>
      </c>
      <c r="E126" s="2" t="s">
        <v>601</v>
      </c>
      <c r="F126" s="2" t="s">
        <v>637</v>
      </c>
      <c r="G126" s="2" t="s">
        <v>45</v>
      </c>
      <c r="H126" s="2" t="s">
        <v>638</v>
      </c>
      <c r="I126" s="2"/>
      <c r="J126" s="2" t="s">
        <v>24</v>
      </c>
      <c r="K126" s="2" t="s">
        <v>40</v>
      </c>
      <c r="L126" s="2"/>
      <c r="M126" s="2"/>
      <c r="N126" s="2" t="s">
        <v>114</v>
      </c>
    </row>
    <row r="127" spans="1:14" ht="90" customHeight="1" x14ac:dyDescent="0.3">
      <c r="A127" s="2">
        <v>8</v>
      </c>
      <c r="B127" s="2" t="s">
        <v>639</v>
      </c>
      <c r="C127" s="2" t="s">
        <v>640</v>
      </c>
      <c r="D127" s="2" t="s">
        <v>641</v>
      </c>
      <c r="E127" s="2" t="s">
        <v>601</v>
      </c>
      <c r="F127" s="2" t="s">
        <v>642</v>
      </c>
      <c r="G127" s="2" t="s">
        <v>643</v>
      </c>
      <c r="H127" s="2" t="s">
        <v>644</v>
      </c>
      <c r="I127" s="2"/>
      <c r="J127" s="2" t="s">
        <v>24</v>
      </c>
      <c r="K127" s="2" t="s">
        <v>33</v>
      </c>
      <c r="L127" s="2"/>
      <c r="M127" s="2"/>
      <c r="N127" s="2"/>
    </row>
    <row r="128" spans="1:14" ht="90" customHeight="1" x14ac:dyDescent="0.3">
      <c r="A128" s="2">
        <v>9</v>
      </c>
      <c r="B128" s="2" t="s">
        <v>645</v>
      </c>
      <c r="C128" s="2" t="s">
        <v>646</v>
      </c>
      <c r="D128" s="2" t="s">
        <v>647</v>
      </c>
      <c r="E128" s="2" t="s">
        <v>601</v>
      </c>
      <c r="F128" s="2" t="s">
        <v>648</v>
      </c>
      <c r="G128" s="2" t="s">
        <v>649</v>
      </c>
      <c r="H128" s="2" t="s">
        <v>650</v>
      </c>
      <c r="I128" s="2"/>
      <c r="J128" s="2" t="s">
        <v>24</v>
      </c>
      <c r="K128" s="2" t="s">
        <v>33</v>
      </c>
      <c r="L128" s="2"/>
      <c r="M128" s="2"/>
      <c r="N128" s="2"/>
    </row>
    <row r="129" spans="1:14" ht="90" customHeight="1" x14ac:dyDescent="0.3">
      <c r="A129" s="2">
        <v>10</v>
      </c>
      <c r="B129" s="2" t="s">
        <v>651</v>
      </c>
      <c r="C129" s="2" t="s">
        <v>652</v>
      </c>
      <c r="D129" s="2" t="s">
        <v>653</v>
      </c>
      <c r="E129" s="2" t="s">
        <v>654</v>
      </c>
      <c r="F129" s="2" t="s">
        <v>655</v>
      </c>
      <c r="G129" s="2" t="s">
        <v>656</v>
      </c>
      <c r="H129" s="2" t="s">
        <v>657</v>
      </c>
      <c r="I129" s="2"/>
      <c r="J129" s="2" t="s">
        <v>24</v>
      </c>
      <c r="K129" s="2" t="s">
        <v>40</v>
      </c>
      <c r="L129" s="2"/>
      <c r="M129" s="2"/>
      <c r="N129" s="2"/>
    </row>
    <row r="131" spans="1:14" ht="19.5" customHeight="1" x14ac:dyDescent="0.3">
      <c r="A131" s="12" t="s">
        <v>658</v>
      </c>
      <c r="B131" s="13"/>
      <c r="C131" s="13"/>
      <c r="D131" s="13"/>
      <c r="E131" s="13"/>
      <c r="F131" s="13"/>
      <c r="G131" s="13"/>
      <c r="H131" s="13"/>
      <c r="I131" s="13"/>
      <c r="J131" s="13"/>
      <c r="K131" s="13"/>
      <c r="L131" s="13"/>
      <c r="M131" s="13"/>
      <c r="N131" s="13"/>
    </row>
    <row r="132" spans="1:14" ht="21.75" customHeight="1" x14ac:dyDescent="0.3">
      <c r="A132" s="1" t="s">
        <v>3</v>
      </c>
      <c r="B132" s="1" t="s">
        <v>4</v>
      </c>
      <c r="C132" s="1" t="s">
        <v>5</v>
      </c>
      <c r="D132" s="1" t="s">
        <v>6</v>
      </c>
      <c r="E132" s="1" t="s">
        <v>7</v>
      </c>
      <c r="F132" s="1" t="s">
        <v>8</v>
      </c>
      <c r="G132" s="1" t="s">
        <v>9</v>
      </c>
      <c r="H132" s="1" t="s">
        <v>10</v>
      </c>
      <c r="I132" s="1" t="s">
        <v>11</v>
      </c>
      <c r="J132" s="1" t="s">
        <v>12</v>
      </c>
      <c r="K132" s="1" t="s">
        <v>13</v>
      </c>
      <c r="L132" s="1" t="s">
        <v>14</v>
      </c>
      <c r="M132" s="1" t="s">
        <v>15</v>
      </c>
      <c r="N132" s="1" t="s">
        <v>16</v>
      </c>
    </row>
    <row r="133" spans="1:14" ht="90" customHeight="1" x14ac:dyDescent="0.3">
      <c r="A133" s="2">
        <v>1</v>
      </c>
      <c r="B133" s="2" t="s">
        <v>659</v>
      </c>
      <c r="C133" s="2" t="s">
        <v>660</v>
      </c>
      <c r="D133" s="2" t="s">
        <v>661</v>
      </c>
      <c r="E133" s="2" t="s">
        <v>662</v>
      </c>
      <c r="F133" s="2" t="s">
        <v>663</v>
      </c>
      <c r="G133" s="2" t="s">
        <v>31</v>
      </c>
      <c r="H133" s="2" t="s">
        <v>664</v>
      </c>
      <c r="I133" s="2"/>
      <c r="J133" s="2" t="s">
        <v>24</v>
      </c>
      <c r="K133" s="2" t="s">
        <v>40</v>
      </c>
      <c r="L133" s="2"/>
      <c r="M133" s="2"/>
      <c r="N133" s="2"/>
    </row>
    <row r="134" spans="1:14" ht="90" customHeight="1" x14ac:dyDescent="0.3">
      <c r="A134" s="2">
        <v>2</v>
      </c>
      <c r="B134" s="2" t="s">
        <v>665</v>
      </c>
      <c r="C134" s="2" t="s">
        <v>666</v>
      </c>
      <c r="D134" s="2" t="s">
        <v>667</v>
      </c>
      <c r="E134" s="2" t="s">
        <v>662</v>
      </c>
      <c r="F134" s="2" t="s">
        <v>668</v>
      </c>
      <c r="G134" s="2" t="s">
        <v>669</v>
      </c>
      <c r="H134" s="2" t="s">
        <v>670</v>
      </c>
      <c r="I134" s="2"/>
      <c r="J134" s="2" t="s">
        <v>24</v>
      </c>
      <c r="K134" s="2" t="s">
        <v>40</v>
      </c>
      <c r="L134" s="2"/>
      <c r="M134" s="2"/>
      <c r="N134" s="2"/>
    </row>
    <row r="135" spans="1:14" ht="90" customHeight="1" x14ac:dyDescent="0.3">
      <c r="A135" s="2">
        <v>3</v>
      </c>
      <c r="B135" s="2" t="s">
        <v>671</v>
      </c>
      <c r="C135" s="2" t="s">
        <v>672</v>
      </c>
      <c r="D135" s="2" t="s">
        <v>673</v>
      </c>
      <c r="E135" s="2" t="s">
        <v>662</v>
      </c>
      <c r="F135" s="2" t="s">
        <v>674</v>
      </c>
      <c r="G135" s="2" t="s">
        <v>675</v>
      </c>
      <c r="H135" s="2" t="s">
        <v>676</v>
      </c>
      <c r="I135" s="2"/>
      <c r="J135" s="2" t="s">
        <v>24</v>
      </c>
      <c r="K135" s="2" t="s">
        <v>33</v>
      </c>
      <c r="L135" s="2"/>
      <c r="M135" s="2"/>
      <c r="N135" s="2"/>
    </row>
    <row r="136" spans="1:14" ht="90" customHeight="1" x14ac:dyDescent="0.3">
      <c r="A136" s="2">
        <v>4</v>
      </c>
      <c r="B136" s="2" t="s">
        <v>677</v>
      </c>
      <c r="C136" s="2" t="s">
        <v>678</v>
      </c>
      <c r="D136" s="2" t="s">
        <v>679</v>
      </c>
      <c r="E136" s="2" t="s">
        <v>662</v>
      </c>
      <c r="F136" s="2" t="s">
        <v>680</v>
      </c>
      <c r="G136" s="2" t="s">
        <v>681</v>
      </c>
      <c r="H136" s="2" t="s">
        <v>682</v>
      </c>
      <c r="I136" s="2"/>
      <c r="J136" s="2" t="s">
        <v>24</v>
      </c>
      <c r="K136" s="2" t="s">
        <v>33</v>
      </c>
      <c r="L136" s="2"/>
      <c r="M136" s="2"/>
      <c r="N136" s="2"/>
    </row>
    <row r="137" spans="1:14" ht="90" customHeight="1" x14ac:dyDescent="0.3">
      <c r="A137" s="2">
        <v>5</v>
      </c>
      <c r="B137" s="2" t="s">
        <v>683</v>
      </c>
      <c r="C137" s="2" t="s">
        <v>684</v>
      </c>
      <c r="D137" s="2" t="s">
        <v>685</v>
      </c>
      <c r="E137" s="2" t="s">
        <v>662</v>
      </c>
      <c r="F137" s="2" t="s">
        <v>686</v>
      </c>
      <c r="G137" s="2" t="s">
        <v>687</v>
      </c>
      <c r="H137" s="2" t="s">
        <v>688</v>
      </c>
      <c r="I137" s="2"/>
      <c r="J137" s="2" t="s">
        <v>24</v>
      </c>
      <c r="K137" s="2" t="s">
        <v>40</v>
      </c>
      <c r="L137" s="2"/>
      <c r="M137" s="2"/>
      <c r="N137" s="2"/>
    </row>
    <row r="138" spans="1:14" ht="90" customHeight="1" x14ac:dyDescent="0.3">
      <c r="A138" s="2">
        <v>6</v>
      </c>
      <c r="B138" s="2" t="s">
        <v>689</v>
      </c>
      <c r="C138" s="2" t="s">
        <v>690</v>
      </c>
      <c r="D138" s="2" t="s">
        <v>691</v>
      </c>
      <c r="E138" s="2" t="s">
        <v>662</v>
      </c>
      <c r="F138" s="2" t="s">
        <v>692</v>
      </c>
      <c r="G138" s="2" t="s">
        <v>693</v>
      </c>
      <c r="H138" s="2" t="s">
        <v>694</v>
      </c>
      <c r="I138" s="2"/>
      <c r="J138" s="2" t="s">
        <v>24</v>
      </c>
      <c r="K138" s="2" t="s">
        <v>33</v>
      </c>
      <c r="L138" s="2"/>
      <c r="M138" s="2"/>
      <c r="N138" s="2"/>
    </row>
    <row r="139" spans="1:14" ht="90" customHeight="1" x14ac:dyDescent="0.3">
      <c r="A139" s="2">
        <v>7</v>
      </c>
      <c r="B139" s="2" t="s">
        <v>695</v>
      </c>
      <c r="C139" s="2" t="s">
        <v>696</v>
      </c>
      <c r="D139" s="2" t="s">
        <v>697</v>
      </c>
      <c r="E139" s="2" t="s">
        <v>662</v>
      </c>
      <c r="F139" s="2" t="s">
        <v>698</v>
      </c>
      <c r="G139" s="2" t="s">
        <v>31</v>
      </c>
      <c r="H139" s="2" t="s">
        <v>699</v>
      </c>
      <c r="I139" s="2"/>
      <c r="J139" s="2" t="s">
        <v>24</v>
      </c>
      <c r="K139" s="2" t="s">
        <v>33</v>
      </c>
      <c r="L139" s="2"/>
      <c r="M139" s="2"/>
      <c r="N139" s="2"/>
    </row>
    <row r="140" spans="1:14" ht="90" customHeight="1" x14ac:dyDescent="0.3">
      <c r="A140" s="2">
        <v>8</v>
      </c>
      <c r="B140" s="2" t="s">
        <v>700</v>
      </c>
      <c r="C140" s="2" t="s">
        <v>701</v>
      </c>
      <c r="D140" s="2" t="s">
        <v>702</v>
      </c>
      <c r="E140" s="2" t="s">
        <v>662</v>
      </c>
      <c r="F140" s="2" t="s">
        <v>703</v>
      </c>
      <c r="G140" s="2" t="s">
        <v>704</v>
      </c>
      <c r="H140" s="2" t="s">
        <v>705</v>
      </c>
      <c r="I140" s="2"/>
      <c r="J140" s="2" t="s">
        <v>24</v>
      </c>
      <c r="K140" s="2" t="s">
        <v>33</v>
      </c>
      <c r="L140" s="2"/>
      <c r="M140" s="2"/>
      <c r="N140" s="2"/>
    </row>
    <row r="141" spans="1:14" ht="90" customHeight="1" x14ac:dyDescent="0.3">
      <c r="A141" s="2">
        <v>9</v>
      </c>
      <c r="B141" s="2" t="s">
        <v>706</v>
      </c>
      <c r="C141" s="2" t="s">
        <v>707</v>
      </c>
      <c r="D141" s="2" t="s">
        <v>708</v>
      </c>
      <c r="E141" s="2" t="s">
        <v>662</v>
      </c>
      <c r="F141" s="2" t="s">
        <v>709</v>
      </c>
      <c r="G141" s="2" t="s">
        <v>710</v>
      </c>
      <c r="H141" s="2" t="s">
        <v>711</v>
      </c>
      <c r="I141" s="2"/>
      <c r="J141" s="2" t="s">
        <v>24</v>
      </c>
      <c r="K141" s="2" t="s">
        <v>40</v>
      </c>
      <c r="L141" s="2"/>
      <c r="M141" s="2"/>
      <c r="N141" s="2"/>
    </row>
    <row r="142" spans="1:14" ht="90" customHeight="1" x14ac:dyDescent="0.3">
      <c r="A142" s="2">
        <v>10</v>
      </c>
      <c r="B142" s="2" t="s">
        <v>712</v>
      </c>
      <c r="C142" s="2" t="s">
        <v>713</v>
      </c>
      <c r="D142" s="2" t="s">
        <v>714</v>
      </c>
      <c r="E142" s="2" t="s">
        <v>662</v>
      </c>
      <c r="F142" s="2" t="s">
        <v>715</v>
      </c>
      <c r="G142" s="2" t="s">
        <v>422</v>
      </c>
      <c r="H142" s="2" t="s">
        <v>716</v>
      </c>
      <c r="I142" s="2"/>
      <c r="J142" s="2" t="s">
        <v>24</v>
      </c>
      <c r="K142" s="2" t="s">
        <v>33</v>
      </c>
      <c r="L142" s="2"/>
      <c r="M142" s="2"/>
      <c r="N142" s="2"/>
    </row>
    <row r="143" spans="1:14" ht="90" customHeight="1" x14ac:dyDescent="0.3">
      <c r="A143" s="2">
        <v>11</v>
      </c>
      <c r="B143" s="2" t="s">
        <v>717</v>
      </c>
      <c r="C143" s="2" t="s">
        <v>718</v>
      </c>
      <c r="D143" s="2" t="s">
        <v>719</v>
      </c>
      <c r="E143" s="2" t="s">
        <v>720</v>
      </c>
      <c r="F143" s="2" t="s">
        <v>721</v>
      </c>
      <c r="G143" s="2" t="s">
        <v>722</v>
      </c>
      <c r="H143" s="2" t="s">
        <v>723</v>
      </c>
      <c r="I143" s="2"/>
      <c r="J143" s="2" t="s">
        <v>24</v>
      </c>
      <c r="K143" s="2" t="s">
        <v>40</v>
      </c>
      <c r="L143" s="2"/>
      <c r="M143" s="2"/>
      <c r="N143" s="2"/>
    </row>
    <row r="144" spans="1:14" ht="90" customHeight="1" x14ac:dyDescent="0.3">
      <c r="A144" s="2">
        <v>12</v>
      </c>
      <c r="B144" s="2" t="s">
        <v>724</v>
      </c>
      <c r="C144" s="2" t="s">
        <v>725</v>
      </c>
      <c r="D144" s="2" t="s">
        <v>726</v>
      </c>
      <c r="E144" s="2" t="s">
        <v>662</v>
      </c>
      <c r="F144" s="2" t="s">
        <v>727</v>
      </c>
      <c r="G144" s="2" t="s">
        <v>687</v>
      </c>
      <c r="H144" s="2" t="s">
        <v>728</v>
      </c>
      <c r="I144" s="2"/>
      <c r="J144" s="2" t="s">
        <v>24</v>
      </c>
      <c r="K144" s="2" t="s">
        <v>33</v>
      </c>
      <c r="L144" s="2"/>
      <c r="M144" s="2"/>
      <c r="N144" s="2" t="s">
        <v>729</v>
      </c>
    </row>
    <row r="146" spans="1:14" ht="19.5" customHeight="1" x14ac:dyDescent="0.3">
      <c r="A146" s="12" t="s">
        <v>730</v>
      </c>
      <c r="B146" s="13"/>
      <c r="C146" s="13"/>
      <c r="D146" s="13"/>
      <c r="E146" s="13"/>
      <c r="F146" s="13"/>
      <c r="G146" s="13"/>
      <c r="H146" s="13"/>
      <c r="I146" s="13"/>
      <c r="J146" s="13"/>
      <c r="K146" s="13"/>
      <c r="L146" s="13"/>
      <c r="M146" s="13"/>
      <c r="N146" s="13"/>
    </row>
    <row r="147" spans="1:14" ht="21.75" customHeight="1" x14ac:dyDescent="0.3">
      <c r="A147" s="1" t="s">
        <v>3</v>
      </c>
      <c r="B147" s="1" t="s">
        <v>4</v>
      </c>
      <c r="C147" s="1" t="s">
        <v>5</v>
      </c>
      <c r="D147" s="1" t="s">
        <v>6</v>
      </c>
      <c r="E147" s="1" t="s">
        <v>7</v>
      </c>
      <c r="F147" s="1" t="s">
        <v>8</v>
      </c>
      <c r="G147" s="1" t="s">
        <v>9</v>
      </c>
      <c r="H147" s="1" t="s">
        <v>10</v>
      </c>
      <c r="I147" s="1" t="s">
        <v>11</v>
      </c>
      <c r="J147" s="1" t="s">
        <v>12</v>
      </c>
      <c r="K147" s="1" t="s">
        <v>13</v>
      </c>
      <c r="L147" s="1" t="s">
        <v>14</v>
      </c>
      <c r="M147" s="1" t="s">
        <v>15</v>
      </c>
      <c r="N147" s="1" t="s">
        <v>16</v>
      </c>
    </row>
    <row r="148" spans="1:14" ht="90" customHeight="1" x14ac:dyDescent="0.3">
      <c r="A148" s="2">
        <v>1</v>
      </c>
      <c r="B148" s="2" t="s">
        <v>731</v>
      </c>
      <c r="C148" s="2" t="s">
        <v>732</v>
      </c>
      <c r="D148" s="2" t="s">
        <v>733</v>
      </c>
      <c r="E148" s="2" t="s">
        <v>734</v>
      </c>
      <c r="F148" s="2" t="s">
        <v>735</v>
      </c>
      <c r="G148" s="2" t="s">
        <v>31</v>
      </c>
      <c r="H148" s="2" t="s">
        <v>736</v>
      </c>
      <c r="I148" s="2"/>
      <c r="J148" s="2" t="s">
        <v>24</v>
      </c>
      <c r="K148" s="2" t="s">
        <v>25</v>
      </c>
      <c r="L148" s="2"/>
      <c r="M148" s="2"/>
      <c r="N148" s="2" t="s">
        <v>737</v>
      </c>
    </row>
    <row r="149" spans="1:14" ht="90" customHeight="1" x14ac:dyDescent="0.3">
      <c r="A149" s="2">
        <v>2</v>
      </c>
      <c r="B149" s="2" t="s">
        <v>738</v>
      </c>
      <c r="C149" s="2" t="s">
        <v>739</v>
      </c>
      <c r="D149" s="2" t="s">
        <v>740</v>
      </c>
      <c r="E149" s="2" t="s">
        <v>734</v>
      </c>
      <c r="F149" s="2" t="s">
        <v>741</v>
      </c>
      <c r="G149" s="2" t="s">
        <v>742</v>
      </c>
      <c r="H149" s="2" t="s">
        <v>743</v>
      </c>
      <c r="I149" s="2"/>
      <c r="J149" s="2" t="s">
        <v>24</v>
      </c>
      <c r="K149" s="2" t="s">
        <v>40</v>
      </c>
      <c r="L149" s="2"/>
      <c r="M149" s="2"/>
      <c r="N149" s="2"/>
    </row>
    <row r="150" spans="1:14" ht="90" customHeight="1" x14ac:dyDescent="0.3">
      <c r="A150" s="2">
        <v>3</v>
      </c>
      <c r="B150" s="2" t="s">
        <v>744</v>
      </c>
      <c r="C150" s="2" t="s">
        <v>745</v>
      </c>
      <c r="D150" s="2" t="s">
        <v>746</v>
      </c>
      <c r="E150" s="2" t="s">
        <v>734</v>
      </c>
      <c r="F150" s="2" t="s">
        <v>747</v>
      </c>
      <c r="G150" s="2" t="s">
        <v>748</v>
      </c>
      <c r="H150" s="2" t="s">
        <v>749</v>
      </c>
      <c r="I150" s="2"/>
      <c r="J150" s="2" t="s">
        <v>24</v>
      </c>
      <c r="K150" s="2" t="s">
        <v>25</v>
      </c>
      <c r="L150" s="2"/>
      <c r="M150" s="2"/>
      <c r="N150" s="2"/>
    </row>
    <row r="151" spans="1:14" ht="90" customHeight="1" x14ac:dyDescent="0.3">
      <c r="A151" s="2">
        <v>4</v>
      </c>
      <c r="B151" s="2" t="s">
        <v>750</v>
      </c>
      <c r="C151" s="2" t="s">
        <v>751</v>
      </c>
      <c r="D151" s="2" t="s">
        <v>752</v>
      </c>
      <c r="E151" s="2" t="s">
        <v>734</v>
      </c>
      <c r="F151" s="2" t="s">
        <v>753</v>
      </c>
      <c r="G151" s="2" t="s">
        <v>748</v>
      </c>
      <c r="H151" s="2" t="s">
        <v>754</v>
      </c>
      <c r="I151" s="2"/>
      <c r="J151" s="2" t="s">
        <v>24</v>
      </c>
      <c r="K151" s="2" t="s">
        <v>40</v>
      </c>
      <c r="L151" s="2"/>
      <c r="M151" s="2"/>
      <c r="N151" s="2"/>
    </row>
    <row r="152" spans="1:14" ht="90" customHeight="1" x14ac:dyDescent="0.3">
      <c r="A152" s="2">
        <v>5</v>
      </c>
      <c r="B152" s="2" t="s">
        <v>755</v>
      </c>
      <c r="C152" s="2" t="s">
        <v>756</v>
      </c>
      <c r="D152" s="2" t="s">
        <v>757</v>
      </c>
      <c r="E152" s="2" t="s">
        <v>734</v>
      </c>
      <c r="F152" s="2" t="s">
        <v>758</v>
      </c>
      <c r="G152" s="2" t="s">
        <v>759</v>
      </c>
      <c r="H152" s="2" t="s">
        <v>760</v>
      </c>
      <c r="I152" s="2"/>
      <c r="J152" s="2" t="s">
        <v>24</v>
      </c>
      <c r="K152" s="2" t="s">
        <v>25</v>
      </c>
      <c r="L152" s="2"/>
      <c r="M152" s="2"/>
      <c r="N152" s="2"/>
    </row>
    <row r="153" spans="1:14" ht="90" customHeight="1" x14ac:dyDescent="0.3">
      <c r="A153" s="2">
        <v>6</v>
      </c>
      <c r="B153" s="2" t="s">
        <v>761</v>
      </c>
      <c r="C153" s="2" t="s">
        <v>762</v>
      </c>
      <c r="D153" s="2" t="s">
        <v>763</v>
      </c>
      <c r="E153" s="2" t="s">
        <v>734</v>
      </c>
      <c r="F153" s="2" t="s">
        <v>764</v>
      </c>
      <c r="G153" s="2" t="s">
        <v>765</v>
      </c>
      <c r="H153" s="2" t="s">
        <v>766</v>
      </c>
      <c r="I153" s="2"/>
      <c r="J153" s="2" t="s">
        <v>24</v>
      </c>
      <c r="K153" s="2" t="s">
        <v>40</v>
      </c>
      <c r="L153" s="2"/>
      <c r="M153" s="2"/>
      <c r="N153" s="2"/>
    </row>
    <row r="154" spans="1:14" ht="90" customHeight="1" x14ac:dyDescent="0.3">
      <c r="A154" s="2">
        <v>7</v>
      </c>
      <c r="B154" s="2" t="s">
        <v>767</v>
      </c>
      <c r="C154" s="2" t="s">
        <v>768</v>
      </c>
      <c r="D154" s="2" t="s">
        <v>769</v>
      </c>
      <c r="E154" s="2" t="s">
        <v>734</v>
      </c>
      <c r="F154" s="2" t="s">
        <v>770</v>
      </c>
      <c r="G154" s="2" t="s">
        <v>771</v>
      </c>
      <c r="H154" s="2" t="s">
        <v>772</v>
      </c>
      <c r="I154" s="2"/>
      <c r="J154" s="2" t="s">
        <v>24</v>
      </c>
      <c r="K154" s="2" t="s">
        <v>25</v>
      </c>
      <c r="L154" s="2"/>
      <c r="M154" s="2"/>
      <c r="N154" s="2"/>
    </row>
    <row r="155" spans="1:14" ht="90" customHeight="1" x14ac:dyDescent="0.3">
      <c r="A155" s="2">
        <v>8</v>
      </c>
      <c r="B155" s="2" t="s">
        <v>773</v>
      </c>
      <c r="C155" s="2" t="s">
        <v>774</v>
      </c>
      <c r="D155" s="2" t="s">
        <v>775</v>
      </c>
      <c r="E155" s="2" t="s">
        <v>734</v>
      </c>
      <c r="F155" s="2" t="s">
        <v>776</v>
      </c>
      <c r="G155" s="2" t="s">
        <v>777</v>
      </c>
      <c r="H155" s="2" t="s">
        <v>778</v>
      </c>
      <c r="I155" s="2"/>
      <c r="J155" s="2" t="s">
        <v>24</v>
      </c>
      <c r="K155" s="2" t="s">
        <v>40</v>
      </c>
      <c r="L155" s="2"/>
      <c r="M155" s="2"/>
      <c r="N155" s="2"/>
    </row>
    <row r="156" spans="1:14" ht="90" customHeight="1" x14ac:dyDescent="0.3">
      <c r="A156" s="2">
        <v>9</v>
      </c>
      <c r="B156" s="2" t="s">
        <v>779</v>
      </c>
      <c r="C156" s="2" t="s">
        <v>780</v>
      </c>
      <c r="D156" s="2" t="s">
        <v>781</v>
      </c>
      <c r="E156" s="2" t="s">
        <v>734</v>
      </c>
      <c r="F156" s="2" t="s">
        <v>782</v>
      </c>
      <c r="G156" s="2" t="s">
        <v>783</v>
      </c>
      <c r="H156" s="2" t="s">
        <v>784</v>
      </c>
      <c r="I156" s="2"/>
      <c r="J156" s="2" t="s">
        <v>24</v>
      </c>
      <c r="K156" s="2" t="s">
        <v>40</v>
      </c>
      <c r="L156" s="2"/>
      <c r="M156" s="2"/>
      <c r="N156" s="2"/>
    </row>
    <row r="157" spans="1:14" ht="90" customHeight="1" x14ac:dyDescent="0.3">
      <c r="A157" s="2">
        <v>10</v>
      </c>
      <c r="B157" s="2" t="s">
        <v>785</v>
      </c>
      <c r="C157" s="2" t="s">
        <v>786</v>
      </c>
      <c r="D157" s="2" t="s">
        <v>787</v>
      </c>
      <c r="E157" s="2" t="s">
        <v>734</v>
      </c>
      <c r="F157" s="2" t="s">
        <v>788</v>
      </c>
      <c r="G157" s="2" t="s">
        <v>789</v>
      </c>
      <c r="H157" s="2" t="s">
        <v>790</v>
      </c>
      <c r="I157" s="2"/>
      <c r="J157" s="2" t="s">
        <v>24</v>
      </c>
      <c r="K157" s="2" t="s">
        <v>33</v>
      </c>
      <c r="L157" s="2"/>
      <c r="M157" s="2"/>
      <c r="N157" s="2"/>
    </row>
    <row r="158" spans="1:14" ht="90" customHeight="1" x14ac:dyDescent="0.3">
      <c r="A158" s="2">
        <v>11</v>
      </c>
      <c r="B158" s="2" t="s">
        <v>791</v>
      </c>
      <c r="C158" s="2" t="s">
        <v>792</v>
      </c>
      <c r="D158" s="2" t="s">
        <v>793</v>
      </c>
      <c r="E158" s="2" t="s">
        <v>734</v>
      </c>
      <c r="F158" s="2" t="s">
        <v>794</v>
      </c>
      <c r="G158" s="2" t="s">
        <v>795</v>
      </c>
      <c r="H158" s="2" t="s">
        <v>796</v>
      </c>
      <c r="I158" s="2"/>
      <c r="J158" s="2" t="s">
        <v>24</v>
      </c>
      <c r="K158" s="2" t="s">
        <v>40</v>
      </c>
      <c r="L158" s="2"/>
      <c r="M158" s="2"/>
      <c r="N158" s="2" t="s">
        <v>797</v>
      </c>
    </row>
    <row r="159" spans="1:14" ht="90" customHeight="1" x14ac:dyDescent="0.3">
      <c r="A159" s="2">
        <v>12</v>
      </c>
      <c r="B159" s="2" t="s">
        <v>798</v>
      </c>
      <c r="C159" s="2" t="s">
        <v>799</v>
      </c>
      <c r="D159" s="2" t="s">
        <v>800</v>
      </c>
      <c r="E159" s="2" t="s">
        <v>734</v>
      </c>
      <c r="F159" s="2" t="s">
        <v>801</v>
      </c>
      <c r="G159" s="2" t="s">
        <v>802</v>
      </c>
      <c r="H159" s="2" t="s">
        <v>803</v>
      </c>
      <c r="I159" s="2"/>
      <c r="J159" s="2" t="s">
        <v>24</v>
      </c>
      <c r="K159" s="2" t="s">
        <v>40</v>
      </c>
      <c r="L159" s="2"/>
      <c r="M159" s="2"/>
      <c r="N159" s="2"/>
    </row>
    <row r="160" spans="1:14" ht="90" customHeight="1" x14ac:dyDescent="0.3">
      <c r="A160" s="2">
        <v>13</v>
      </c>
      <c r="B160" s="2" t="s">
        <v>804</v>
      </c>
      <c r="C160" s="2" t="s">
        <v>805</v>
      </c>
      <c r="D160" s="2" t="s">
        <v>806</v>
      </c>
      <c r="E160" s="2" t="s">
        <v>734</v>
      </c>
      <c r="F160" s="2" t="s">
        <v>807</v>
      </c>
      <c r="G160" s="2" t="s">
        <v>808</v>
      </c>
      <c r="H160" s="2" t="s">
        <v>809</v>
      </c>
      <c r="I160" s="2"/>
      <c r="J160" s="2" t="s">
        <v>24</v>
      </c>
      <c r="K160" s="2" t="s">
        <v>33</v>
      </c>
      <c r="L160" s="2"/>
      <c r="M160" s="2"/>
      <c r="N160" s="2"/>
    </row>
    <row r="161" spans="1:14" ht="90" customHeight="1" x14ac:dyDescent="0.3">
      <c r="A161" s="2">
        <v>14</v>
      </c>
      <c r="B161" s="2" t="s">
        <v>810</v>
      </c>
      <c r="C161" s="2" t="s">
        <v>811</v>
      </c>
      <c r="D161" s="2" t="s">
        <v>812</v>
      </c>
      <c r="E161" s="2" t="s">
        <v>734</v>
      </c>
      <c r="F161" s="2" t="s">
        <v>813</v>
      </c>
      <c r="G161" s="2" t="s">
        <v>814</v>
      </c>
      <c r="H161" s="2" t="s">
        <v>815</v>
      </c>
      <c r="I161" s="2"/>
      <c r="J161" s="2" t="s">
        <v>24</v>
      </c>
      <c r="K161" s="2" t="s">
        <v>33</v>
      </c>
      <c r="L161" s="2"/>
      <c r="M161" s="2"/>
      <c r="N161" s="2"/>
    </row>
    <row r="162" spans="1:14" ht="90" customHeight="1" x14ac:dyDescent="0.3">
      <c r="A162" s="2">
        <v>15</v>
      </c>
      <c r="B162" s="2" t="s">
        <v>816</v>
      </c>
      <c r="C162" s="2" t="s">
        <v>817</v>
      </c>
      <c r="D162" s="2" t="s">
        <v>818</v>
      </c>
      <c r="E162" s="2" t="s">
        <v>734</v>
      </c>
      <c r="F162" s="2" t="s">
        <v>819</v>
      </c>
      <c r="G162" s="2" t="s">
        <v>820</v>
      </c>
      <c r="H162" s="2" t="s">
        <v>821</v>
      </c>
      <c r="I162" s="2"/>
      <c r="J162" s="2" t="s">
        <v>24</v>
      </c>
      <c r="K162" s="2" t="s">
        <v>33</v>
      </c>
      <c r="L162" s="2"/>
      <c r="M162" s="2"/>
      <c r="N162" s="2" t="s">
        <v>822</v>
      </c>
    </row>
    <row r="163" spans="1:14" ht="90" customHeight="1" x14ac:dyDescent="0.3">
      <c r="A163" s="2">
        <v>16</v>
      </c>
      <c r="B163" s="2" t="s">
        <v>823</v>
      </c>
      <c r="C163" s="2" t="s">
        <v>824</v>
      </c>
      <c r="D163" s="2" t="s">
        <v>825</v>
      </c>
      <c r="E163" s="2" t="s">
        <v>734</v>
      </c>
      <c r="F163" s="2" t="s">
        <v>826</v>
      </c>
      <c r="G163" s="2" t="s">
        <v>827</v>
      </c>
      <c r="H163" s="2" t="s">
        <v>828</v>
      </c>
      <c r="I163" s="2"/>
      <c r="J163" s="2" t="s">
        <v>24</v>
      </c>
      <c r="K163" s="2" t="s">
        <v>33</v>
      </c>
      <c r="L163" s="2"/>
      <c r="M163" s="2"/>
      <c r="N163" s="2" t="s">
        <v>829</v>
      </c>
    </row>
    <row r="164" spans="1:14" ht="90" customHeight="1" x14ac:dyDescent="0.3">
      <c r="A164" s="2">
        <v>17</v>
      </c>
      <c r="B164" s="2" t="s">
        <v>830</v>
      </c>
      <c r="C164" s="2" t="s">
        <v>831</v>
      </c>
      <c r="D164" s="2" t="s">
        <v>832</v>
      </c>
      <c r="E164" s="2" t="s">
        <v>734</v>
      </c>
      <c r="F164" s="2" t="s">
        <v>833</v>
      </c>
      <c r="G164" s="2" t="s">
        <v>834</v>
      </c>
      <c r="H164" s="2" t="s">
        <v>835</v>
      </c>
      <c r="I164" s="2"/>
      <c r="J164" s="2" t="s">
        <v>24</v>
      </c>
      <c r="K164" s="2" t="s">
        <v>33</v>
      </c>
      <c r="L164" s="2"/>
      <c r="M164" s="2"/>
      <c r="N164" s="2"/>
    </row>
    <row r="165" spans="1:14" ht="90" customHeight="1" x14ac:dyDescent="0.3">
      <c r="A165" s="2">
        <v>18</v>
      </c>
      <c r="B165" s="2" t="s">
        <v>836</v>
      </c>
      <c r="C165" s="2" t="s">
        <v>837</v>
      </c>
      <c r="D165" s="2" t="s">
        <v>838</v>
      </c>
      <c r="E165" s="2" t="s">
        <v>734</v>
      </c>
      <c r="F165" s="2" t="s">
        <v>839</v>
      </c>
      <c r="G165" s="2" t="s">
        <v>840</v>
      </c>
      <c r="H165" s="2" t="s">
        <v>841</v>
      </c>
      <c r="I165" s="2"/>
      <c r="J165" s="2" t="s">
        <v>24</v>
      </c>
      <c r="K165" s="2" t="s">
        <v>33</v>
      </c>
      <c r="L165" s="2"/>
      <c r="M165" s="2"/>
      <c r="N165" s="2"/>
    </row>
    <row r="166" spans="1:14" ht="90" customHeight="1" x14ac:dyDescent="0.3">
      <c r="A166" s="2">
        <v>19</v>
      </c>
      <c r="B166" s="2" t="s">
        <v>842</v>
      </c>
      <c r="C166" s="2" t="s">
        <v>843</v>
      </c>
      <c r="D166" s="2" t="s">
        <v>844</v>
      </c>
      <c r="E166" s="2" t="s">
        <v>734</v>
      </c>
      <c r="F166" s="2" t="s">
        <v>845</v>
      </c>
      <c r="G166" s="2" t="s">
        <v>748</v>
      </c>
      <c r="H166" s="2" t="s">
        <v>846</v>
      </c>
      <c r="I166" s="2"/>
      <c r="J166" s="2" t="s">
        <v>24</v>
      </c>
      <c r="K166" s="2" t="s">
        <v>33</v>
      </c>
      <c r="L166" s="2"/>
      <c r="M166" s="2"/>
      <c r="N166" s="2"/>
    </row>
    <row r="167" spans="1:14" ht="90" customHeight="1" x14ac:dyDescent="0.3">
      <c r="A167" s="2">
        <v>20</v>
      </c>
      <c r="B167" s="2" t="s">
        <v>847</v>
      </c>
      <c r="C167" s="2" t="s">
        <v>848</v>
      </c>
      <c r="D167" s="2" t="s">
        <v>849</v>
      </c>
      <c r="E167" s="2" t="s">
        <v>734</v>
      </c>
      <c r="F167" s="2" t="s">
        <v>850</v>
      </c>
      <c r="G167" s="2" t="s">
        <v>851</v>
      </c>
      <c r="H167" s="2" t="s">
        <v>852</v>
      </c>
      <c r="I167" s="2"/>
      <c r="J167" s="2" t="s">
        <v>24</v>
      </c>
      <c r="K167" s="2" t="s">
        <v>33</v>
      </c>
      <c r="L167" s="2"/>
      <c r="M167" s="2"/>
      <c r="N167" s="2"/>
    </row>
    <row r="168" spans="1:14" ht="90" customHeight="1" x14ac:dyDescent="0.3">
      <c r="A168" s="2">
        <v>21</v>
      </c>
      <c r="B168" s="2" t="s">
        <v>853</v>
      </c>
      <c r="C168" s="2" t="s">
        <v>854</v>
      </c>
      <c r="D168" s="2" t="s">
        <v>855</v>
      </c>
      <c r="E168" s="2" t="s">
        <v>734</v>
      </c>
      <c r="F168" s="2" t="s">
        <v>856</v>
      </c>
      <c r="G168" s="2" t="s">
        <v>857</v>
      </c>
      <c r="H168" s="2" t="s">
        <v>858</v>
      </c>
      <c r="I168" s="2"/>
      <c r="J168" s="2" t="s">
        <v>24</v>
      </c>
      <c r="K168" s="2" t="s">
        <v>33</v>
      </c>
      <c r="L168" s="2"/>
      <c r="M168" s="2"/>
      <c r="N168" s="2"/>
    </row>
    <row r="169" spans="1:14" ht="90" customHeight="1" x14ac:dyDescent="0.3">
      <c r="A169" s="2">
        <v>22</v>
      </c>
      <c r="B169" s="2" t="s">
        <v>859</v>
      </c>
      <c r="C169" s="2" t="s">
        <v>860</v>
      </c>
      <c r="D169" s="2" t="s">
        <v>861</v>
      </c>
      <c r="E169" s="2" t="s">
        <v>862</v>
      </c>
      <c r="F169" s="2" t="s">
        <v>863</v>
      </c>
      <c r="G169" s="2" t="s">
        <v>864</v>
      </c>
      <c r="H169" s="2" t="s">
        <v>865</v>
      </c>
      <c r="I169" s="2"/>
      <c r="J169" s="2" t="s">
        <v>24</v>
      </c>
      <c r="K169" s="2" t="s">
        <v>40</v>
      </c>
      <c r="L169" s="2"/>
      <c r="M169" s="2"/>
      <c r="N169" s="2"/>
    </row>
    <row r="171" spans="1:14" ht="19.5" customHeight="1" x14ac:dyDescent="0.3">
      <c r="A171" s="12" t="s">
        <v>866</v>
      </c>
      <c r="B171" s="13"/>
      <c r="C171" s="13"/>
      <c r="D171" s="13"/>
      <c r="E171" s="13"/>
      <c r="F171" s="13"/>
      <c r="G171" s="13"/>
      <c r="H171" s="13"/>
      <c r="I171" s="13"/>
      <c r="J171" s="13"/>
      <c r="K171" s="13"/>
      <c r="L171" s="13"/>
      <c r="M171" s="13"/>
      <c r="N171" s="13"/>
    </row>
    <row r="172" spans="1:14" ht="21.75" customHeight="1" x14ac:dyDescent="0.3">
      <c r="A172" s="1" t="s">
        <v>3</v>
      </c>
      <c r="B172" s="1" t="s">
        <v>4</v>
      </c>
      <c r="C172" s="1" t="s">
        <v>5</v>
      </c>
      <c r="D172" s="1" t="s">
        <v>6</v>
      </c>
      <c r="E172" s="1" t="s">
        <v>7</v>
      </c>
      <c r="F172" s="1" t="s">
        <v>8</v>
      </c>
      <c r="G172" s="1" t="s">
        <v>9</v>
      </c>
      <c r="H172" s="1" t="s">
        <v>10</v>
      </c>
      <c r="I172" s="1" t="s">
        <v>11</v>
      </c>
      <c r="J172" s="1" t="s">
        <v>12</v>
      </c>
      <c r="K172" s="1" t="s">
        <v>13</v>
      </c>
      <c r="L172" s="1" t="s">
        <v>14</v>
      </c>
      <c r="M172" s="1" t="s">
        <v>15</v>
      </c>
      <c r="N172" s="1" t="s">
        <v>16</v>
      </c>
    </row>
    <row r="173" spans="1:14" ht="90" customHeight="1" x14ac:dyDescent="0.3">
      <c r="A173" s="2">
        <v>1</v>
      </c>
      <c r="B173" s="2" t="s">
        <v>867</v>
      </c>
      <c r="C173" s="2" t="s">
        <v>868</v>
      </c>
      <c r="D173" s="2" t="s">
        <v>869</v>
      </c>
      <c r="E173" s="2" t="s">
        <v>20</v>
      </c>
      <c r="F173" s="2" t="s">
        <v>870</v>
      </c>
      <c r="G173" s="2" t="s">
        <v>871</v>
      </c>
      <c r="H173" s="2" t="s">
        <v>872</v>
      </c>
      <c r="I173" s="2"/>
      <c r="J173" s="2" t="s">
        <v>24</v>
      </c>
      <c r="K173" s="2" t="s">
        <v>40</v>
      </c>
      <c r="L173" s="2"/>
      <c r="M173" s="2"/>
      <c r="N173" s="2"/>
    </row>
    <row r="174" spans="1:14" ht="90" customHeight="1" x14ac:dyDescent="0.3">
      <c r="A174" s="2">
        <v>2</v>
      </c>
      <c r="B174" s="2" t="s">
        <v>873</v>
      </c>
      <c r="C174" s="2" t="s">
        <v>874</v>
      </c>
      <c r="D174" s="2" t="s">
        <v>875</v>
      </c>
      <c r="E174" s="2" t="s">
        <v>20</v>
      </c>
      <c r="F174" s="2" t="s">
        <v>876</v>
      </c>
      <c r="G174" s="2" t="s">
        <v>877</v>
      </c>
      <c r="H174" s="2" t="s">
        <v>878</v>
      </c>
      <c r="I174" s="2"/>
      <c r="J174" s="2" t="s">
        <v>24</v>
      </c>
      <c r="K174" s="2" t="s">
        <v>33</v>
      </c>
      <c r="L174" s="2"/>
      <c r="M174" s="2"/>
      <c r="N174" s="2"/>
    </row>
    <row r="175" spans="1:14" ht="90" customHeight="1" x14ac:dyDescent="0.3">
      <c r="A175" s="2">
        <v>3</v>
      </c>
      <c r="B175" s="2" t="s">
        <v>879</v>
      </c>
      <c r="C175" s="2" t="s">
        <v>880</v>
      </c>
      <c r="D175" s="2" t="s">
        <v>881</v>
      </c>
      <c r="E175" s="2" t="s">
        <v>20</v>
      </c>
      <c r="F175" s="2" t="s">
        <v>882</v>
      </c>
      <c r="G175" s="2" t="s">
        <v>883</v>
      </c>
      <c r="H175" s="2" t="s">
        <v>884</v>
      </c>
      <c r="I175" s="2"/>
      <c r="J175" s="2" t="s">
        <v>24</v>
      </c>
      <c r="K175" s="2" t="s">
        <v>25</v>
      </c>
      <c r="L175" s="2"/>
      <c r="M175" s="2"/>
      <c r="N175" s="2" t="s">
        <v>885</v>
      </c>
    </row>
    <row r="176" spans="1:14" ht="90" customHeight="1" x14ac:dyDescent="0.3">
      <c r="A176" s="2">
        <v>4</v>
      </c>
      <c r="B176" s="2" t="s">
        <v>886</v>
      </c>
      <c r="C176" s="2" t="s">
        <v>887</v>
      </c>
      <c r="D176" s="2" t="s">
        <v>888</v>
      </c>
      <c r="E176" s="2" t="s">
        <v>20</v>
      </c>
      <c r="F176" s="2" t="s">
        <v>889</v>
      </c>
      <c r="G176" s="2" t="s">
        <v>890</v>
      </c>
      <c r="H176" s="2" t="s">
        <v>891</v>
      </c>
      <c r="I176" s="2"/>
      <c r="J176" s="2" t="s">
        <v>24</v>
      </c>
      <c r="K176" s="2" t="s">
        <v>33</v>
      </c>
      <c r="L176" s="2"/>
      <c r="M176" s="2"/>
      <c r="N176" s="2"/>
    </row>
    <row r="177" spans="1:14" ht="90" customHeight="1" x14ac:dyDescent="0.3">
      <c r="A177" s="2">
        <v>5</v>
      </c>
      <c r="B177" s="2" t="s">
        <v>892</v>
      </c>
      <c r="C177" s="2" t="s">
        <v>893</v>
      </c>
      <c r="D177" s="2" t="s">
        <v>894</v>
      </c>
      <c r="E177" s="2" t="s">
        <v>20</v>
      </c>
      <c r="F177" s="2" t="s">
        <v>895</v>
      </c>
      <c r="G177" s="2" t="s">
        <v>896</v>
      </c>
      <c r="H177" s="2" t="s">
        <v>897</v>
      </c>
      <c r="I177" s="2"/>
      <c r="J177" s="2" t="s">
        <v>24</v>
      </c>
      <c r="K177" s="2" t="s">
        <v>40</v>
      </c>
      <c r="L177" s="2"/>
      <c r="M177" s="2"/>
      <c r="N177" s="2"/>
    </row>
    <row r="178" spans="1:14" ht="90" customHeight="1" x14ac:dyDescent="0.3">
      <c r="A178" s="2">
        <v>6</v>
      </c>
      <c r="B178" s="2" t="s">
        <v>898</v>
      </c>
      <c r="C178" s="2" t="s">
        <v>899</v>
      </c>
      <c r="D178" s="2" t="s">
        <v>900</v>
      </c>
      <c r="E178" s="2" t="s">
        <v>20</v>
      </c>
      <c r="F178" s="2" t="s">
        <v>901</v>
      </c>
      <c r="G178" s="2" t="s">
        <v>902</v>
      </c>
      <c r="H178" s="2" t="s">
        <v>903</v>
      </c>
      <c r="I178" s="2"/>
      <c r="J178" s="2" t="s">
        <v>24</v>
      </c>
      <c r="K178" s="2" t="s">
        <v>40</v>
      </c>
      <c r="L178" s="2"/>
      <c r="M178" s="2"/>
      <c r="N178" s="2"/>
    </row>
    <row r="179" spans="1:14" ht="90" customHeight="1" x14ac:dyDescent="0.3">
      <c r="A179" s="2">
        <v>7</v>
      </c>
      <c r="B179" s="2" t="s">
        <v>904</v>
      </c>
      <c r="C179" s="2" t="s">
        <v>905</v>
      </c>
      <c r="D179" s="2" t="s">
        <v>906</v>
      </c>
      <c r="E179" s="2" t="s">
        <v>20</v>
      </c>
      <c r="F179" s="2" t="s">
        <v>907</v>
      </c>
      <c r="G179" s="2" t="s">
        <v>908</v>
      </c>
      <c r="H179" s="2" t="s">
        <v>909</v>
      </c>
      <c r="I179" s="2"/>
      <c r="J179" s="2" t="s">
        <v>24</v>
      </c>
      <c r="K179" s="2" t="s">
        <v>25</v>
      </c>
      <c r="L179" s="2"/>
      <c r="M179" s="2"/>
      <c r="N179" s="2" t="s">
        <v>289</v>
      </c>
    </row>
    <row r="180" spans="1:14" ht="90" customHeight="1" x14ac:dyDescent="0.3">
      <c r="A180" s="2">
        <v>8</v>
      </c>
      <c r="B180" s="2" t="s">
        <v>910</v>
      </c>
      <c r="C180" s="2" t="s">
        <v>911</v>
      </c>
      <c r="D180" s="2" t="s">
        <v>912</v>
      </c>
      <c r="E180" s="2" t="s">
        <v>20</v>
      </c>
      <c r="F180" s="2" t="s">
        <v>913</v>
      </c>
      <c r="G180" s="2" t="s">
        <v>914</v>
      </c>
      <c r="H180" s="2" t="s">
        <v>915</v>
      </c>
      <c r="I180" s="2"/>
      <c r="J180" s="2" t="s">
        <v>24</v>
      </c>
      <c r="K180" s="2" t="s">
        <v>33</v>
      </c>
      <c r="L180" s="2"/>
      <c r="M180" s="2"/>
      <c r="N180" s="2"/>
    </row>
    <row r="181" spans="1:14" ht="90" customHeight="1" x14ac:dyDescent="0.3">
      <c r="A181" s="2">
        <v>9</v>
      </c>
      <c r="B181" s="2" t="s">
        <v>916</v>
      </c>
      <c r="C181" s="2" t="s">
        <v>917</v>
      </c>
      <c r="D181" s="2" t="s">
        <v>918</v>
      </c>
      <c r="E181" s="2" t="s">
        <v>20</v>
      </c>
      <c r="F181" s="2" t="s">
        <v>919</v>
      </c>
      <c r="G181" s="2" t="s">
        <v>920</v>
      </c>
      <c r="H181" s="2" t="s">
        <v>921</v>
      </c>
      <c r="I181" s="2"/>
      <c r="J181" s="2" t="s">
        <v>24</v>
      </c>
      <c r="K181" s="2" t="s">
        <v>33</v>
      </c>
      <c r="L181" s="2"/>
      <c r="M181" s="2"/>
      <c r="N181" s="2" t="s">
        <v>922</v>
      </c>
    </row>
    <row r="182" spans="1:14" ht="90" customHeight="1" x14ac:dyDescent="0.3">
      <c r="A182" s="2">
        <v>10</v>
      </c>
      <c r="B182" s="2" t="s">
        <v>923</v>
      </c>
      <c r="C182" s="2" t="s">
        <v>924</v>
      </c>
      <c r="D182" s="2" t="s">
        <v>925</v>
      </c>
      <c r="E182" s="2" t="s">
        <v>20</v>
      </c>
      <c r="F182" s="2" t="s">
        <v>926</v>
      </c>
      <c r="G182" s="2" t="s">
        <v>31</v>
      </c>
      <c r="H182" s="2" t="s">
        <v>927</v>
      </c>
      <c r="I182" s="2"/>
      <c r="J182" s="2" t="s">
        <v>24</v>
      </c>
      <c r="K182" s="2" t="s">
        <v>33</v>
      </c>
      <c r="L182" s="2"/>
      <c r="M182" s="2"/>
      <c r="N182" s="2"/>
    </row>
    <row r="183" spans="1:14" ht="90" customHeight="1" x14ac:dyDescent="0.3">
      <c r="A183" s="2">
        <v>11</v>
      </c>
      <c r="B183" s="2" t="s">
        <v>928</v>
      </c>
      <c r="C183" s="2" t="s">
        <v>929</v>
      </c>
      <c r="D183" s="2" t="s">
        <v>930</v>
      </c>
      <c r="E183" s="2" t="s">
        <v>20</v>
      </c>
      <c r="F183" s="2" t="s">
        <v>931</v>
      </c>
      <c r="G183" s="2" t="s">
        <v>932</v>
      </c>
      <c r="H183" s="2" t="s">
        <v>933</v>
      </c>
      <c r="I183" s="2"/>
      <c r="J183" s="2" t="s">
        <v>24</v>
      </c>
      <c r="K183" s="2" t="s">
        <v>25</v>
      </c>
      <c r="L183" s="2"/>
      <c r="M183" s="2"/>
      <c r="N183" s="2" t="s">
        <v>934</v>
      </c>
    </row>
    <row r="184" spans="1:14" ht="90" customHeight="1" x14ac:dyDescent="0.3">
      <c r="A184" s="2">
        <v>12</v>
      </c>
      <c r="B184" s="2" t="s">
        <v>935</v>
      </c>
      <c r="C184" s="2" t="s">
        <v>936</v>
      </c>
      <c r="D184" s="2" t="s">
        <v>937</v>
      </c>
      <c r="E184" s="2" t="s">
        <v>20</v>
      </c>
      <c r="F184" s="2" t="s">
        <v>938</v>
      </c>
      <c r="G184" s="2" t="s">
        <v>939</v>
      </c>
      <c r="H184" s="2" t="s">
        <v>940</v>
      </c>
      <c r="I184" s="2"/>
      <c r="J184" s="2" t="s">
        <v>24</v>
      </c>
      <c r="K184" s="2" t="s">
        <v>33</v>
      </c>
      <c r="L184" s="2"/>
      <c r="M184" s="2"/>
      <c r="N184" s="2"/>
    </row>
    <row r="185" spans="1:14" ht="90" customHeight="1" x14ac:dyDescent="0.3">
      <c r="A185" s="2">
        <v>13</v>
      </c>
      <c r="B185" s="2" t="s">
        <v>941</v>
      </c>
      <c r="C185" s="2" t="s">
        <v>942</v>
      </c>
      <c r="D185" s="2" t="s">
        <v>943</v>
      </c>
      <c r="E185" s="2" t="s">
        <v>20</v>
      </c>
      <c r="F185" s="2" t="s">
        <v>944</v>
      </c>
      <c r="G185" s="2" t="s">
        <v>945</v>
      </c>
      <c r="H185" s="2" t="s">
        <v>946</v>
      </c>
      <c r="I185" s="2"/>
      <c r="J185" s="2" t="s">
        <v>24</v>
      </c>
      <c r="K185" s="2" t="s">
        <v>33</v>
      </c>
      <c r="L185" s="2"/>
      <c r="M185" s="2"/>
      <c r="N185" s="2"/>
    </row>
    <row r="186" spans="1:14" ht="90" customHeight="1" x14ac:dyDescent="0.3">
      <c r="A186" s="2">
        <v>14</v>
      </c>
      <c r="B186" s="2" t="s">
        <v>947</v>
      </c>
      <c r="C186" s="2" t="s">
        <v>948</v>
      </c>
      <c r="D186" s="2" t="s">
        <v>949</v>
      </c>
      <c r="E186" s="2" t="s">
        <v>950</v>
      </c>
      <c r="F186" s="2" t="s">
        <v>951</v>
      </c>
      <c r="G186" s="2" t="s">
        <v>722</v>
      </c>
      <c r="H186" s="2" t="s">
        <v>952</v>
      </c>
      <c r="I186" s="2"/>
      <c r="J186" s="2" t="s">
        <v>24</v>
      </c>
      <c r="K186" s="2" t="s">
        <v>40</v>
      </c>
      <c r="L186" s="2"/>
      <c r="M186" s="2"/>
      <c r="N186" s="2"/>
    </row>
    <row r="187" spans="1:14" ht="90" customHeight="1" x14ac:dyDescent="0.3">
      <c r="A187" s="2">
        <v>15</v>
      </c>
      <c r="B187" s="2" t="s">
        <v>953</v>
      </c>
      <c r="C187" s="2" t="s">
        <v>954</v>
      </c>
      <c r="D187" s="2" t="s">
        <v>955</v>
      </c>
      <c r="E187" s="2" t="s">
        <v>20</v>
      </c>
      <c r="F187" s="2" t="s">
        <v>956</v>
      </c>
      <c r="G187" s="2" t="s">
        <v>957</v>
      </c>
      <c r="H187" s="2" t="s">
        <v>958</v>
      </c>
      <c r="I187" s="2"/>
      <c r="J187" s="2" t="s">
        <v>24</v>
      </c>
      <c r="K187" s="2" t="s">
        <v>33</v>
      </c>
      <c r="L187" s="2"/>
      <c r="M187" s="2"/>
      <c r="N187" s="2"/>
    </row>
    <row r="188" spans="1:14" ht="90" customHeight="1" x14ac:dyDescent="0.3">
      <c r="A188" s="2">
        <v>16</v>
      </c>
      <c r="B188" s="2" t="s">
        <v>959</v>
      </c>
      <c r="C188" s="2" t="s">
        <v>960</v>
      </c>
      <c r="D188" s="2" t="s">
        <v>961</v>
      </c>
      <c r="E188" s="2" t="s">
        <v>20</v>
      </c>
      <c r="F188" s="2" t="s">
        <v>962</v>
      </c>
      <c r="G188" s="2" t="s">
        <v>963</v>
      </c>
      <c r="H188" s="2" t="s">
        <v>964</v>
      </c>
      <c r="I188" s="2"/>
      <c r="J188" s="2" t="s">
        <v>24</v>
      </c>
      <c r="K188" s="2" t="s">
        <v>33</v>
      </c>
      <c r="L188" s="2"/>
      <c r="M188" s="2"/>
      <c r="N188" s="2" t="s">
        <v>93</v>
      </c>
    </row>
    <row r="190" spans="1:14" ht="19.5" customHeight="1" x14ac:dyDescent="0.3">
      <c r="A190" s="12" t="s">
        <v>965</v>
      </c>
      <c r="B190" s="13"/>
      <c r="C190" s="13"/>
      <c r="D190" s="13"/>
      <c r="E190" s="13"/>
      <c r="F190" s="13"/>
      <c r="G190" s="13"/>
      <c r="H190" s="13"/>
      <c r="I190" s="13"/>
      <c r="J190" s="13"/>
      <c r="K190" s="13"/>
      <c r="L190" s="13"/>
      <c r="M190" s="13"/>
      <c r="N190" s="13"/>
    </row>
    <row r="191" spans="1:14" ht="21.75" customHeight="1" x14ac:dyDescent="0.3">
      <c r="A191" s="1" t="s">
        <v>3</v>
      </c>
      <c r="B191" s="1" t="s">
        <v>4</v>
      </c>
      <c r="C191" s="1" t="s">
        <v>5</v>
      </c>
      <c r="D191" s="1" t="s">
        <v>6</v>
      </c>
      <c r="E191" s="1" t="s">
        <v>7</v>
      </c>
      <c r="F191" s="1" t="s">
        <v>8</v>
      </c>
      <c r="G191" s="1" t="s">
        <v>9</v>
      </c>
      <c r="H191" s="1" t="s">
        <v>10</v>
      </c>
      <c r="I191" s="1" t="s">
        <v>11</v>
      </c>
      <c r="J191" s="1" t="s">
        <v>12</v>
      </c>
      <c r="K191" s="1" t="s">
        <v>13</v>
      </c>
      <c r="L191" s="1" t="s">
        <v>14</v>
      </c>
      <c r="M191" s="1" t="s">
        <v>15</v>
      </c>
      <c r="N191" s="1" t="s">
        <v>16</v>
      </c>
    </row>
    <row r="192" spans="1:14" ht="90" customHeight="1" x14ac:dyDescent="0.3">
      <c r="A192" s="2">
        <v>1</v>
      </c>
      <c r="B192" s="2" t="s">
        <v>966</v>
      </c>
      <c r="C192" s="2" t="s">
        <v>967</v>
      </c>
      <c r="D192" s="2" t="s">
        <v>968</v>
      </c>
      <c r="E192" s="2" t="s">
        <v>969</v>
      </c>
      <c r="F192" s="2" t="s">
        <v>970</v>
      </c>
      <c r="G192" s="2" t="s">
        <v>971</v>
      </c>
      <c r="H192" s="2" t="s">
        <v>972</v>
      </c>
      <c r="I192" s="2"/>
      <c r="J192" s="2" t="s">
        <v>24</v>
      </c>
      <c r="K192" s="2" t="s">
        <v>40</v>
      </c>
      <c r="L192" s="2"/>
      <c r="M192" s="2"/>
      <c r="N192" s="2"/>
    </row>
    <row r="193" spans="1:14" ht="90" customHeight="1" x14ac:dyDescent="0.3">
      <c r="A193" s="2">
        <v>2</v>
      </c>
      <c r="B193" s="2" t="s">
        <v>973</v>
      </c>
      <c r="C193" s="2" t="s">
        <v>974</v>
      </c>
      <c r="D193" s="2" t="s">
        <v>975</v>
      </c>
      <c r="E193" s="2" t="s">
        <v>969</v>
      </c>
      <c r="F193" s="2" t="s">
        <v>976</v>
      </c>
      <c r="G193" s="2" t="s">
        <v>977</v>
      </c>
      <c r="H193" s="2" t="s">
        <v>978</v>
      </c>
      <c r="I193" s="2"/>
      <c r="J193" s="2" t="s">
        <v>24</v>
      </c>
      <c r="K193" s="2" t="s">
        <v>25</v>
      </c>
      <c r="L193" s="2"/>
      <c r="M193" s="2"/>
      <c r="N193" s="2" t="s">
        <v>979</v>
      </c>
    </row>
    <row r="194" spans="1:14" ht="90" customHeight="1" x14ac:dyDescent="0.3">
      <c r="A194" s="2">
        <v>3</v>
      </c>
      <c r="B194" s="2" t="s">
        <v>980</v>
      </c>
      <c r="C194" s="2" t="s">
        <v>981</v>
      </c>
      <c r="D194" s="2" t="s">
        <v>982</v>
      </c>
      <c r="E194" s="2" t="s">
        <v>969</v>
      </c>
      <c r="F194" s="2" t="s">
        <v>983</v>
      </c>
      <c r="G194" s="2" t="s">
        <v>984</v>
      </c>
      <c r="H194" s="2" t="s">
        <v>985</v>
      </c>
      <c r="I194" s="2"/>
      <c r="J194" s="2" t="s">
        <v>24</v>
      </c>
      <c r="K194" s="2" t="s">
        <v>40</v>
      </c>
      <c r="L194" s="2"/>
      <c r="M194" s="2"/>
      <c r="N194" s="2"/>
    </row>
    <row r="195" spans="1:14" ht="90" customHeight="1" x14ac:dyDescent="0.3">
      <c r="A195" s="2">
        <v>4</v>
      </c>
      <c r="B195" s="2" t="s">
        <v>986</v>
      </c>
      <c r="C195" s="2" t="s">
        <v>987</v>
      </c>
      <c r="D195" s="2" t="s">
        <v>988</v>
      </c>
      <c r="E195" s="2" t="s">
        <v>969</v>
      </c>
      <c r="F195" s="2" t="s">
        <v>989</v>
      </c>
      <c r="G195" s="2" t="s">
        <v>990</v>
      </c>
      <c r="H195" s="2" t="s">
        <v>991</v>
      </c>
      <c r="I195" s="2"/>
      <c r="J195" s="2" t="s">
        <v>24</v>
      </c>
      <c r="K195" s="2" t="s">
        <v>40</v>
      </c>
      <c r="L195" s="2"/>
      <c r="M195" s="2"/>
      <c r="N195" s="2"/>
    </row>
    <row r="196" spans="1:14" ht="90" customHeight="1" x14ac:dyDescent="0.3">
      <c r="A196" s="2">
        <v>5</v>
      </c>
      <c r="B196" s="2" t="s">
        <v>992</v>
      </c>
      <c r="C196" s="2" t="s">
        <v>993</v>
      </c>
      <c r="D196" s="2" t="s">
        <v>994</v>
      </c>
      <c r="E196" s="2" t="s">
        <v>969</v>
      </c>
      <c r="F196" s="2" t="s">
        <v>995</v>
      </c>
      <c r="G196" s="2" t="s">
        <v>996</v>
      </c>
      <c r="H196" s="2" t="s">
        <v>997</v>
      </c>
      <c r="I196" s="2"/>
      <c r="J196" s="2" t="s">
        <v>24</v>
      </c>
      <c r="K196" s="2" t="s">
        <v>40</v>
      </c>
      <c r="L196" s="2"/>
      <c r="M196" s="2"/>
      <c r="N196" s="2"/>
    </row>
    <row r="197" spans="1:14" ht="90" customHeight="1" x14ac:dyDescent="0.3">
      <c r="A197" s="2">
        <v>6</v>
      </c>
      <c r="B197" s="2" t="s">
        <v>998</v>
      </c>
      <c r="C197" s="2" t="s">
        <v>999</v>
      </c>
      <c r="D197" s="2" t="s">
        <v>1000</v>
      </c>
      <c r="E197" s="2" t="s">
        <v>969</v>
      </c>
      <c r="F197" s="2" t="s">
        <v>1001</v>
      </c>
      <c r="G197" s="2" t="s">
        <v>1002</v>
      </c>
      <c r="H197" s="2" t="s">
        <v>1003</v>
      </c>
      <c r="I197" s="2"/>
      <c r="J197" s="2" t="s">
        <v>24</v>
      </c>
      <c r="K197" s="2" t="s">
        <v>40</v>
      </c>
      <c r="L197" s="2"/>
      <c r="M197" s="2"/>
      <c r="N197" s="2" t="s">
        <v>1004</v>
      </c>
    </row>
    <row r="198" spans="1:14" ht="90" customHeight="1" x14ac:dyDescent="0.3">
      <c r="A198" s="2">
        <v>7</v>
      </c>
      <c r="B198" s="2" t="s">
        <v>1005</v>
      </c>
      <c r="C198" s="2" t="s">
        <v>1006</v>
      </c>
      <c r="D198" s="2" t="s">
        <v>1007</v>
      </c>
      <c r="E198" s="2" t="s">
        <v>969</v>
      </c>
      <c r="F198" s="2" t="s">
        <v>1008</v>
      </c>
      <c r="G198" s="2" t="s">
        <v>1009</v>
      </c>
      <c r="H198" s="2" t="s">
        <v>1010</v>
      </c>
      <c r="I198" s="2"/>
      <c r="J198" s="2" t="s">
        <v>24</v>
      </c>
      <c r="K198" s="2" t="s">
        <v>33</v>
      </c>
      <c r="L198" s="2"/>
      <c r="M198" s="2"/>
      <c r="N198" s="2"/>
    </row>
    <row r="199" spans="1:14" ht="90" customHeight="1" x14ac:dyDescent="0.3">
      <c r="A199" s="2">
        <v>8</v>
      </c>
      <c r="B199" s="2" t="s">
        <v>1011</v>
      </c>
      <c r="C199" s="2" t="s">
        <v>1012</v>
      </c>
      <c r="D199" s="2" t="s">
        <v>1013</v>
      </c>
      <c r="E199" s="2" t="s">
        <v>969</v>
      </c>
      <c r="F199" s="2" t="s">
        <v>1014</v>
      </c>
      <c r="G199" s="2" t="s">
        <v>1015</v>
      </c>
      <c r="H199" s="2" t="s">
        <v>1016</v>
      </c>
      <c r="I199" s="2"/>
      <c r="J199" s="2" t="s">
        <v>24</v>
      </c>
      <c r="K199" s="2" t="s">
        <v>33</v>
      </c>
      <c r="L199" s="2"/>
      <c r="M199" s="2"/>
      <c r="N199" s="2"/>
    </row>
    <row r="200" spans="1:14" ht="90" customHeight="1" x14ac:dyDescent="0.3">
      <c r="A200" s="2">
        <v>9</v>
      </c>
      <c r="B200" s="2" t="s">
        <v>1017</v>
      </c>
      <c r="C200" s="2" t="s">
        <v>1018</v>
      </c>
      <c r="D200" s="2" t="s">
        <v>1019</v>
      </c>
      <c r="E200" s="2" t="s">
        <v>969</v>
      </c>
      <c r="F200" s="2" t="s">
        <v>1020</v>
      </c>
      <c r="G200" s="2" t="s">
        <v>1021</v>
      </c>
      <c r="H200" s="2" t="s">
        <v>1022</v>
      </c>
      <c r="I200" s="2"/>
      <c r="J200" s="2" t="s">
        <v>24</v>
      </c>
      <c r="K200" s="2" t="s">
        <v>33</v>
      </c>
      <c r="L200" s="2"/>
      <c r="M200" s="2"/>
      <c r="N200" s="2"/>
    </row>
    <row r="201" spans="1:14" ht="90" customHeight="1" x14ac:dyDescent="0.3">
      <c r="A201" s="2">
        <v>10</v>
      </c>
      <c r="B201" s="2" t="s">
        <v>1023</v>
      </c>
      <c r="C201" s="2" t="s">
        <v>1024</v>
      </c>
      <c r="D201" s="2" t="s">
        <v>1025</v>
      </c>
      <c r="E201" s="2" t="s">
        <v>969</v>
      </c>
      <c r="F201" s="2" t="s">
        <v>1026</v>
      </c>
      <c r="G201" s="2" t="s">
        <v>1027</v>
      </c>
      <c r="H201" s="2" t="s">
        <v>1028</v>
      </c>
      <c r="I201" s="2"/>
      <c r="J201" s="2" t="s">
        <v>24</v>
      </c>
      <c r="K201" s="2" t="s">
        <v>33</v>
      </c>
      <c r="L201" s="2"/>
      <c r="M201" s="2"/>
      <c r="N201" s="2"/>
    </row>
    <row r="202" spans="1:14" ht="90" customHeight="1" x14ac:dyDescent="0.3">
      <c r="A202" s="2">
        <v>11</v>
      </c>
      <c r="B202" s="2" t="s">
        <v>1029</v>
      </c>
      <c r="C202" s="2" t="s">
        <v>1030</v>
      </c>
      <c r="D202" s="2" t="s">
        <v>1031</v>
      </c>
      <c r="E202" s="2" t="s">
        <v>969</v>
      </c>
      <c r="F202" s="2" t="s">
        <v>1032</v>
      </c>
      <c r="G202" s="2" t="s">
        <v>1033</v>
      </c>
      <c r="H202" s="2" t="s">
        <v>1034</v>
      </c>
      <c r="I202" s="2"/>
      <c r="J202" s="2" t="s">
        <v>24</v>
      </c>
      <c r="K202" s="2" t="s">
        <v>33</v>
      </c>
      <c r="L202" s="2"/>
      <c r="M202" s="2"/>
      <c r="N202" s="2"/>
    </row>
    <row r="203" spans="1:14" ht="90" customHeight="1" x14ac:dyDescent="0.3">
      <c r="A203" s="2">
        <v>12</v>
      </c>
      <c r="B203" s="2" t="s">
        <v>1035</v>
      </c>
      <c r="C203" s="2" t="s">
        <v>1036</v>
      </c>
      <c r="D203" s="2" t="s">
        <v>1037</v>
      </c>
      <c r="E203" s="2" t="s">
        <v>969</v>
      </c>
      <c r="F203" s="2" t="s">
        <v>1038</v>
      </c>
      <c r="G203" s="2" t="s">
        <v>1039</v>
      </c>
      <c r="H203" s="2" t="s">
        <v>1040</v>
      </c>
      <c r="I203" s="2"/>
      <c r="J203" s="2" t="s">
        <v>24</v>
      </c>
      <c r="K203" s="2" t="s">
        <v>33</v>
      </c>
      <c r="L203" s="2"/>
      <c r="M203" s="2"/>
      <c r="N203" s="2"/>
    </row>
    <row r="204" spans="1:14" ht="90" customHeight="1" x14ac:dyDescent="0.3">
      <c r="A204" s="2">
        <v>13</v>
      </c>
      <c r="B204" s="2" t="s">
        <v>1041</v>
      </c>
      <c r="C204" s="2" t="s">
        <v>1042</v>
      </c>
      <c r="D204" s="2" t="s">
        <v>1043</v>
      </c>
      <c r="E204" s="2" t="s">
        <v>969</v>
      </c>
      <c r="F204" s="2" t="s">
        <v>1044</v>
      </c>
      <c r="G204" s="2" t="s">
        <v>1045</v>
      </c>
      <c r="H204" s="2" t="s">
        <v>1046</v>
      </c>
      <c r="I204" s="2"/>
      <c r="J204" s="2" t="s">
        <v>24</v>
      </c>
      <c r="K204" s="2" t="s">
        <v>25</v>
      </c>
      <c r="L204" s="2"/>
      <c r="M204" s="2"/>
      <c r="N204" s="2" t="s">
        <v>289</v>
      </c>
    </row>
    <row r="205" spans="1:14" ht="90" customHeight="1" x14ac:dyDescent="0.3">
      <c r="A205" s="2">
        <v>14</v>
      </c>
      <c r="B205" s="2" t="s">
        <v>1047</v>
      </c>
      <c r="C205" s="2" t="s">
        <v>1048</v>
      </c>
      <c r="D205" s="2" t="s">
        <v>1049</v>
      </c>
      <c r="E205" s="2" t="s">
        <v>1050</v>
      </c>
      <c r="F205" s="2" t="s">
        <v>1051</v>
      </c>
      <c r="G205" s="2" t="s">
        <v>1052</v>
      </c>
      <c r="H205" s="2" t="s">
        <v>1053</v>
      </c>
      <c r="I205" s="2"/>
      <c r="J205" s="2" t="s">
        <v>24</v>
      </c>
      <c r="K205" s="2" t="s">
        <v>40</v>
      </c>
      <c r="L205" s="2"/>
      <c r="M205" s="2"/>
      <c r="N205" s="2"/>
    </row>
    <row r="207" spans="1:14" ht="19.5" customHeight="1" x14ac:dyDescent="0.3">
      <c r="A207" s="12" t="s">
        <v>1054</v>
      </c>
      <c r="B207" s="13"/>
      <c r="C207" s="13"/>
      <c r="D207" s="13"/>
      <c r="E207" s="13"/>
      <c r="F207" s="13"/>
      <c r="G207" s="13"/>
      <c r="H207" s="13"/>
      <c r="I207" s="13"/>
      <c r="J207" s="13"/>
      <c r="K207" s="13"/>
      <c r="L207" s="13"/>
      <c r="M207" s="13"/>
      <c r="N207" s="13"/>
    </row>
    <row r="208" spans="1:14" ht="21.75" customHeight="1" x14ac:dyDescent="0.3">
      <c r="A208" s="1" t="s">
        <v>3</v>
      </c>
      <c r="B208" s="1" t="s">
        <v>4</v>
      </c>
      <c r="C208" s="1" t="s">
        <v>5</v>
      </c>
      <c r="D208" s="1" t="s">
        <v>6</v>
      </c>
      <c r="E208" s="1" t="s">
        <v>7</v>
      </c>
      <c r="F208" s="1" t="s">
        <v>8</v>
      </c>
      <c r="G208" s="1" t="s">
        <v>9</v>
      </c>
      <c r="H208" s="1" t="s">
        <v>10</v>
      </c>
      <c r="I208" s="1" t="s">
        <v>11</v>
      </c>
      <c r="J208" s="1" t="s">
        <v>12</v>
      </c>
      <c r="K208" s="1" t="s">
        <v>13</v>
      </c>
      <c r="L208" s="1" t="s">
        <v>14</v>
      </c>
      <c r="M208" s="1" t="s">
        <v>15</v>
      </c>
      <c r="N208" s="1" t="s">
        <v>16</v>
      </c>
    </row>
    <row r="209" spans="1:14" ht="90" customHeight="1" x14ac:dyDescent="0.3">
      <c r="A209" s="2">
        <v>1</v>
      </c>
      <c r="B209" s="2" t="s">
        <v>1055</v>
      </c>
      <c r="C209" s="2" t="s">
        <v>1056</v>
      </c>
      <c r="D209" s="2" t="s">
        <v>1057</v>
      </c>
      <c r="E209" s="2" t="s">
        <v>20</v>
      </c>
      <c r="F209" s="2" t="s">
        <v>1058</v>
      </c>
      <c r="G209" s="2" t="s">
        <v>1059</v>
      </c>
      <c r="H209" s="2" t="s">
        <v>1060</v>
      </c>
      <c r="I209" s="2"/>
      <c r="J209" s="2" t="s">
        <v>24</v>
      </c>
      <c r="K209" s="2" t="s">
        <v>33</v>
      </c>
      <c r="L209" s="2"/>
      <c r="M209" s="2"/>
      <c r="N209" s="2"/>
    </row>
    <row r="210" spans="1:14" ht="90" customHeight="1" x14ac:dyDescent="0.3">
      <c r="A210" s="2">
        <v>2</v>
      </c>
      <c r="B210" s="2" t="s">
        <v>1061</v>
      </c>
      <c r="C210" s="2" t="s">
        <v>1062</v>
      </c>
      <c r="D210" s="2" t="s">
        <v>1063</v>
      </c>
      <c r="E210" s="2" t="s">
        <v>20</v>
      </c>
      <c r="F210" s="2" t="s">
        <v>1064</v>
      </c>
      <c r="G210" s="2" t="s">
        <v>1065</v>
      </c>
      <c r="H210" s="2" t="s">
        <v>1066</v>
      </c>
      <c r="I210" s="2"/>
      <c r="J210" s="2" t="s">
        <v>24</v>
      </c>
      <c r="K210" s="2" t="s">
        <v>33</v>
      </c>
      <c r="L210" s="2"/>
      <c r="M210" s="2"/>
      <c r="N210" s="2"/>
    </row>
    <row r="211" spans="1:14" ht="90" customHeight="1" x14ac:dyDescent="0.3">
      <c r="A211" s="2">
        <v>3</v>
      </c>
      <c r="B211" s="2" t="s">
        <v>1067</v>
      </c>
      <c r="C211" s="2" t="s">
        <v>1068</v>
      </c>
      <c r="D211" s="2" t="s">
        <v>1069</v>
      </c>
      <c r="E211" s="2" t="s">
        <v>20</v>
      </c>
      <c r="F211" s="2" t="s">
        <v>1070</v>
      </c>
      <c r="G211" s="2" t="s">
        <v>1071</v>
      </c>
      <c r="H211" s="2" t="s">
        <v>1072</v>
      </c>
      <c r="I211" s="2"/>
      <c r="J211" s="2" t="s">
        <v>24</v>
      </c>
      <c r="K211" s="2" t="s">
        <v>33</v>
      </c>
      <c r="L211" s="2"/>
      <c r="M211" s="2"/>
      <c r="N211" s="2"/>
    </row>
    <row r="212" spans="1:14" ht="90" customHeight="1" x14ac:dyDescent="0.3">
      <c r="A212" s="2">
        <v>4</v>
      </c>
      <c r="B212" s="2" t="s">
        <v>1073</v>
      </c>
      <c r="C212" s="2" t="s">
        <v>1074</v>
      </c>
      <c r="D212" s="2" t="s">
        <v>1075</v>
      </c>
      <c r="E212" s="2" t="s">
        <v>20</v>
      </c>
      <c r="F212" s="2" t="s">
        <v>1076</v>
      </c>
      <c r="G212" s="2" t="s">
        <v>1077</v>
      </c>
      <c r="H212" s="2" t="s">
        <v>1078</v>
      </c>
      <c r="I212" s="2"/>
      <c r="J212" s="2" t="s">
        <v>24</v>
      </c>
      <c r="K212" s="2" t="s">
        <v>33</v>
      </c>
      <c r="L212" s="2"/>
      <c r="M212" s="2"/>
      <c r="N212" s="2"/>
    </row>
    <row r="213" spans="1:14" ht="90" customHeight="1" x14ac:dyDescent="0.3">
      <c r="A213" s="2">
        <v>5</v>
      </c>
      <c r="B213" s="2" t="s">
        <v>1079</v>
      </c>
      <c r="C213" s="2" t="s">
        <v>1080</v>
      </c>
      <c r="D213" s="2" t="s">
        <v>1081</v>
      </c>
      <c r="E213" s="2" t="s">
        <v>20</v>
      </c>
      <c r="F213" s="2" t="s">
        <v>1082</v>
      </c>
      <c r="G213" s="2" t="s">
        <v>1083</v>
      </c>
      <c r="H213" s="2" t="s">
        <v>1084</v>
      </c>
      <c r="I213" s="2"/>
      <c r="J213" s="2" t="s">
        <v>24</v>
      </c>
      <c r="K213" s="2" t="s">
        <v>33</v>
      </c>
      <c r="L213" s="2"/>
      <c r="M213" s="2"/>
      <c r="N213" s="2"/>
    </row>
    <row r="214" spans="1:14" ht="90" customHeight="1" x14ac:dyDescent="0.3">
      <c r="A214" s="2">
        <v>6</v>
      </c>
      <c r="B214" s="2" t="s">
        <v>1085</v>
      </c>
      <c r="C214" s="2" t="s">
        <v>1086</v>
      </c>
      <c r="D214" s="2" t="s">
        <v>1087</v>
      </c>
      <c r="E214" s="2" t="s">
        <v>20</v>
      </c>
      <c r="F214" s="2" t="s">
        <v>1088</v>
      </c>
      <c r="G214" s="2" t="s">
        <v>31</v>
      </c>
      <c r="H214" s="2" t="s">
        <v>1089</v>
      </c>
      <c r="I214" s="2"/>
      <c r="J214" s="2" t="s">
        <v>24</v>
      </c>
      <c r="K214" s="2" t="s">
        <v>33</v>
      </c>
      <c r="L214" s="2"/>
      <c r="M214" s="2"/>
      <c r="N214" s="2"/>
    </row>
    <row r="215" spans="1:14" ht="90" customHeight="1" x14ac:dyDescent="0.3">
      <c r="A215" s="2">
        <v>7</v>
      </c>
      <c r="B215" s="2" t="s">
        <v>1090</v>
      </c>
      <c r="C215" s="2" t="s">
        <v>1091</v>
      </c>
      <c r="D215" s="2" t="s">
        <v>1092</v>
      </c>
      <c r="E215" s="2" t="s">
        <v>20</v>
      </c>
      <c r="F215" s="2" t="s">
        <v>1093</v>
      </c>
      <c r="G215" s="2" t="s">
        <v>1094</v>
      </c>
      <c r="H215" s="2" t="s">
        <v>1095</v>
      </c>
      <c r="I215" s="2"/>
      <c r="J215" s="2" t="s">
        <v>24</v>
      </c>
      <c r="K215" s="2" t="s">
        <v>33</v>
      </c>
      <c r="L215" s="2"/>
      <c r="M215" s="2"/>
      <c r="N215" s="2"/>
    </row>
    <row r="216" spans="1:14" ht="90" customHeight="1" x14ac:dyDescent="0.3">
      <c r="A216" s="2">
        <v>8</v>
      </c>
      <c r="B216" s="2" t="s">
        <v>1096</v>
      </c>
      <c r="C216" s="2" t="s">
        <v>1097</v>
      </c>
      <c r="D216" s="2" t="s">
        <v>1098</v>
      </c>
      <c r="E216" s="2" t="s">
        <v>20</v>
      </c>
      <c r="F216" s="2" t="s">
        <v>1099</v>
      </c>
      <c r="G216" s="2" t="s">
        <v>31</v>
      </c>
      <c r="H216" s="2" t="s">
        <v>1100</v>
      </c>
      <c r="I216" s="2"/>
      <c r="J216" s="2" t="s">
        <v>24</v>
      </c>
      <c r="K216" s="2" t="s">
        <v>33</v>
      </c>
      <c r="L216" s="2"/>
      <c r="M216" s="2"/>
      <c r="N216" s="2"/>
    </row>
    <row r="217" spans="1:14" ht="90" customHeight="1" x14ac:dyDescent="0.3">
      <c r="A217" s="2">
        <v>9</v>
      </c>
      <c r="B217" s="2" t="s">
        <v>1101</v>
      </c>
      <c r="C217" s="2" t="s">
        <v>1102</v>
      </c>
      <c r="D217" s="2" t="s">
        <v>1103</v>
      </c>
      <c r="E217" s="2" t="s">
        <v>20</v>
      </c>
      <c r="F217" s="2" t="s">
        <v>1104</v>
      </c>
      <c r="G217" s="2" t="s">
        <v>1105</v>
      </c>
      <c r="H217" s="2" t="s">
        <v>1106</v>
      </c>
      <c r="I217" s="2"/>
      <c r="J217" s="2" t="s">
        <v>24</v>
      </c>
      <c r="K217" s="2" t="s">
        <v>33</v>
      </c>
      <c r="L217" s="2"/>
      <c r="M217" s="2"/>
      <c r="N217" s="2"/>
    </row>
    <row r="218" spans="1:14" ht="90" customHeight="1" x14ac:dyDescent="0.3">
      <c r="A218" s="2">
        <v>10</v>
      </c>
      <c r="B218" s="2" t="s">
        <v>1107</v>
      </c>
      <c r="C218" s="2" t="s">
        <v>1108</v>
      </c>
      <c r="D218" s="2" t="s">
        <v>1109</v>
      </c>
      <c r="E218" s="2" t="s">
        <v>20</v>
      </c>
      <c r="F218" s="2" t="s">
        <v>1110</v>
      </c>
      <c r="G218" s="2" t="s">
        <v>31</v>
      </c>
      <c r="H218" s="2" t="s">
        <v>1111</v>
      </c>
      <c r="I218" s="2"/>
      <c r="J218" s="2" t="s">
        <v>24</v>
      </c>
      <c r="K218" s="2" t="s">
        <v>33</v>
      </c>
      <c r="L218" s="2"/>
      <c r="M218" s="2"/>
      <c r="N218" s="2"/>
    </row>
    <row r="219" spans="1:14" ht="90" customHeight="1" x14ac:dyDescent="0.3">
      <c r="A219" s="2">
        <v>11</v>
      </c>
      <c r="B219" s="2" t="s">
        <v>1112</v>
      </c>
      <c r="C219" s="2" t="s">
        <v>1113</v>
      </c>
      <c r="D219" s="2" t="s">
        <v>1114</v>
      </c>
      <c r="E219" s="2" t="s">
        <v>20</v>
      </c>
      <c r="F219" s="2" t="s">
        <v>1115</v>
      </c>
      <c r="G219" s="2" t="s">
        <v>1116</v>
      </c>
      <c r="H219" s="2" t="s">
        <v>1117</v>
      </c>
      <c r="I219" s="2"/>
      <c r="J219" s="2" t="s">
        <v>24</v>
      </c>
      <c r="K219" s="2" t="s">
        <v>33</v>
      </c>
      <c r="L219" s="2"/>
      <c r="M219" s="2"/>
      <c r="N219" s="2" t="s">
        <v>1118</v>
      </c>
    </row>
    <row r="220" spans="1:14" ht="90" customHeight="1" x14ac:dyDescent="0.3">
      <c r="A220" s="2">
        <v>12</v>
      </c>
      <c r="B220" s="2" t="s">
        <v>1119</v>
      </c>
      <c r="C220" s="2" t="s">
        <v>1120</v>
      </c>
      <c r="D220" s="2" t="s">
        <v>1121</v>
      </c>
      <c r="E220" s="2" t="s">
        <v>1122</v>
      </c>
      <c r="F220" s="2" t="s">
        <v>1123</v>
      </c>
      <c r="G220" s="2" t="s">
        <v>1124</v>
      </c>
      <c r="H220" s="2" t="s">
        <v>1125</v>
      </c>
      <c r="I220" s="2"/>
      <c r="J220" s="2" t="s">
        <v>24</v>
      </c>
      <c r="K220" s="2" t="s">
        <v>33</v>
      </c>
      <c r="L220" s="2"/>
      <c r="M220" s="2"/>
      <c r="N220" s="2"/>
    </row>
    <row r="221" spans="1:14" ht="90" customHeight="1" x14ac:dyDescent="0.3">
      <c r="A221" s="2">
        <v>13</v>
      </c>
      <c r="B221" s="2" t="s">
        <v>1126</v>
      </c>
      <c r="C221" s="2" t="s">
        <v>1127</v>
      </c>
      <c r="D221" s="2" t="s">
        <v>1128</v>
      </c>
      <c r="E221" s="2" t="s">
        <v>20</v>
      </c>
      <c r="F221" s="2" t="s">
        <v>1129</v>
      </c>
      <c r="G221" s="2" t="s">
        <v>1130</v>
      </c>
      <c r="H221" s="2" t="s">
        <v>1131</v>
      </c>
      <c r="I221" s="2"/>
      <c r="J221" s="2" t="s">
        <v>24</v>
      </c>
      <c r="K221" s="2" t="s">
        <v>40</v>
      </c>
      <c r="L221" s="2"/>
      <c r="M221" s="2"/>
      <c r="N221" s="2" t="s">
        <v>1132</v>
      </c>
    </row>
    <row r="222" spans="1:14" ht="90" customHeight="1" x14ac:dyDescent="0.3">
      <c r="A222" s="2">
        <v>14</v>
      </c>
      <c r="B222" s="2" t="s">
        <v>1133</v>
      </c>
      <c r="C222" s="2" t="s">
        <v>1134</v>
      </c>
      <c r="D222" s="2" t="s">
        <v>1135</v>
      </c>
      <c r="E222" s="2" t="s">
        <v>20</v>
      </c>
      <c r="F222" s="2" t="s">
        <v>1136</v>
      </c>
      <c r="G222" s="2" t="s">
        <v>871</v>
      </c>
      <c r="H222" s="2" t="s">
        <v>1137</v>
      </c>
      <c r="I222" s="2"/>
      <c r="J222" s="2" t="s">
        <v>24</v>
      </c>
      <c r="K222" s="2" t="s">
        <v>33</v>
      </c>
      <c r="L222" s="2"/>
      <c r="M222" s="2"/>
      <c r="N222" s="2"/>
    </row>
    <row r="223" spans="1:14" ht="90" customHeight="1" x14ac:dyDescent="0.3">
      <c r="A223" s="2">
        <v>15</v>
      </c>
      <c r="B223" s="2" t="s">
        <v>1138</v>
      </c>
      <c r="C223" s="2" t="s">
        <v>1139</v>
      </c>
      <c r="D223" s="2" t="s">
        <v>1140</v>
      </c>
      <c r="E223" s="2" t="s">
        <v>20</v>
      </c>
      <c r="F223" s="2" t="s">
        <v>1141</v>
      </c>
      <c r="G223" s="2" t="s">
        <v>1142</v>
      </c>
      <c r="H223" s="2" t="s">
        <v>1143</v>
      </c>
      <c r="I223" s="2"/>
      <c r="J223" s="2" t="s">
        <v>24</v>
      </c>
      <c r="K223" s="2" t="s">
        <v>33</v>
      </c>
      <c r="L223" s="2"/>
      <c r="M223" s="2"/>
      <c r="N223" s="2"/>
    </row>
    <row r="224" spans="1:14" ht="90" customHeight="1" x14ac:dyDescent="0.3">
      <c r="A224" s="2">
        <v>16</v>
      </c>
      <c r="B224" s="2" t="s">
        <v>1144</v>
      </c>
      <c r="C224" s="2" t="s">
        <v>1145</v>
      </c>
      <c r="D224" s="2" t="s">
        <v>1146</v>
      </c>
      <c r="E224" s="2" t="s">
        <v>20</v>
      </c>
      <c r="F224" s="2" t="s">
        <v>1147</v>
      </c>
      <c r="G224" s="2" t="s">
        <v>1148</v>
      </c>
      <c r="H224" s="2" t="s">
        <v>1149</v>
      </c>
      <c r="I224" s="2"/>
      <c r="J224" s="2" t="s">
        <v>24</v>
      </c>
      <c r="K224" s="2" t="s">
        <v>33</v>
      </c>
      <c r="L224" s="2"/>
      <c r="M224" s="2"/>
      <c r="N224" s="2"/>
    </row>
    <row r="226" spans="1:14" ht="19.5" customHeight="1" x14ac:dyDescent="0.3">
      <c r="A226" s="12" t="s">
        <v>1150</v>
      </c>
      <c r="B226" s="13"/>
      <c r="C226" s="13"/>
      <c r="D226" s="13"/>
      <c r="E226" s="13"/>
      <c r="F226" s="13"/>
      <c r="G226" s="13"/>
      <c r="H226" s="13"/>
      <c r="I226" s="13"/>
      <c r="J226" s="13"/>
      <c r="K226" s="13"/>
      <c r="L226" s="13"/>
      <c r="M226" s="13"/>
      <c r="N226" s="13"/>
    </row>
    <row r="227" spans="1:14" ht="21.75" customHeight="1" x14ac:dyDescent="0.3">
      <c r="A227" s="1" t="s">
        <v>3</v>
      </c>
      <c r="B227" s="1" t="s">
        <v>4</v>
      </c>
      <c r="C227" s="1" t="s">
        <v>5</v>
      </c>
      <c r="D227" s="1" t="s">
        <v>6</v>
      </c>
      <c r="E227" s="1" t="s">
        <v>7</v>
      </c>
      <c r="F227" s="1" t="s">
        <v>8</v>
      </c>
      <c r="G227" s="1" t="s">
        <v>9</v>
      </c>
      <c r="H227" s="1" t="s">
        <v>10</v>
      </c>
      <c r="I227" s="1" t="s">
        <v>11</v>
      </c>
      <c r="J227" s="1" t="s">
        <v>12</v>
      </c>
      <c r="K227" s="1" t="s">
        <v>13</v>
      </c>
      <c r="L227" s="1" t="s">
        <v>14</v>
      </c>
      <c r="M227" s="1" t="s">
        <v>15</v>
      </c>
      <c r="N227" s="1" t="s">
        <v>16</v>
      </c>
    </row>
    <row r="228" spans="1:14" ht="90" customHeight="1" x14ac:dyDescent="0.3">
      <c r="A228" s="2">
        <v>1</v>
      </c>
      <c r="B228" s="2" t="s">
        <v>1151</v>
      </c>
      <c r="C228" s="2" t="s">
        <v>1152</v>
      </c>
      <c r="D228" s="2" t="s">
        <v>1153</v>
      </c>
      <c r="E228" s="2" t="s">
        <v>20</v>
      </c>
      <c r="F228" s="2" t="s">
        <v>1154</v>
      </c>
      <c r="G228" s="2" t="s">
        <v>1155</v>
      </c>
      <c r="H228" s="2" t="s">
        <v>1156</v>
      </c>
      <c r="I228" s="2"/>
      <c r="J228" s="2" t="s">
        <v>24</v>
      </c>
      <c r="K228" s="2" t="s">
        <v>40</v>
      </c>
      <c r="L228" s="2"/>
      <c r="M228" s="2"/>
      <c r="N228" s="2"/>
    </row>
    <row r="229" spans="1:14" ht="90" customHeight="1" x14ac:dyDescent="0.3">
      <c r="A229" s="2">
        <v>2</v>
      </c>
      <c r="B229" s="2" t="s">
        <v>1157</v>
      </c>
      <c r="C229" s="2" t="s">
        <v>1158</v>
      </c>
      <c r="D229" s="2" t="s">
        <v>1159</v>
      </c>
      <c r="E229" s="2" t="s">
        <v>20</v>
      </c>
      <c r="F229" s="2" t="s">
        <v>1160</v>
      </c>
      <c r="G229" s="2" t="s">
        <v>1161</v>
      </c>
      <c r="H229" s="2" t="s">
        <v>1162</v>
      </c>
      <c r="I229" s="2"/>
      <c r="J229" s="2" t="s">
        <v>24</v>
      </c>
      <c r="K229" s="2" t="s">
        <v>40</v>
      </c>
      <c r="L229" s="2"/>
      <c r="M229" s="2"/>
      <c r="N229" s="2"/>
    </row>
    <row r="230" spans="1:14" ht="90" customHeight="1" x14ac:dyDescent="0.3">
      <c r="A230" s="2">
        <v>3</v>
      </c>
      <c r="B230" s="2" t="s">
        <v>1163</v>
      </c>
      <c r="C230" s="2" t="s">
        <v>1164</v>
      </c>
      <c r="D230" s="2" t="s">
        <v>1165</v>
      </c>
      <c r="E230" s="2" t="s">
        <v>20</v>
      </c>
      <c r="F230" s="2" t="s">
        <v>1166</v>
      </c>
      <c r="G230" s="2" t="s">
        <v>1167</v>
      </c>
      <c r="H230" s="2" t="s">
        <v>1168</v>
      </c>
      <c r="I230" s="2"/>
      <c r="J230" s="2" t="s">
        <v>24</v>
      </c>
      <c r="K230" s="2" t="s">
        <v>40</v>
      </c>
      <c r="L230" s="2"/>
      <c r="M230" s="2"/>
      <c r="N230" s="2"/>
    </row>
    <row r="231" spans="1:14" ht="90" customHeight="1" x14ac:dyDescent="0.3">
      <c r="A231" s="2">
        <v>4</v>
      </c>
      <c r="B231" s="2" t="s">
        <v>1169</v>
      </c>
      <c r="C231" s="2" t="s">
        <v>1170</v>
      </c>
      <c r="D231" s="2" t="s">
        <v>1171</v>
      </c>
      <c r="E231" s="2" t="s">
        <v>20</v>
      </c>
      <c r="F231" s="2" t="s">
        <v>1172</v>
      </c>
      <c r="G231" s="2" t="s">
        <v>1173</v>
      </c>
      <c r="H231" s="2" t="s">
        <v>1174</v>
      </c>
      <c r="I231" s="2"/>
      <c r="J231" s="2" t="s">
        <v>24</v>
      </c>
      <c r="K231" s="2" t="s">
        <v>33</v>
      </c>
      <c r="L231" s="2"/>
      <c r="M231" s="2"/>
      <c r="N231" s="2"/>
    </row>
    <row r="232" spans="1:14" ht="90" customHeight="1" x14ac:dyDescent="0.3">
      <c r="A232" s="2">
        <v>5</v>
      </c>
      <c r="B232" s="2" t="s">
        <v>1175</v>
      </c>
      <c r="C232" s="2" t="s">
        <v>1176</v>
      </c>
      <c r="D232" s="2" t="s">
        <v>1177</v>
      </c>
      <c r="E232" s="2" t="s">
        <v>950</v>
      </c>
      <c r="F232" s="2" t="s">
        <v>1178</v>
      </c>
      <c r="G232" s="2" t="s">
        <v>1179</v>
      </c>
      <c r="H232" s="2" t="s">
        <v>1180</v>
      </c>
      <c r="I232" s="2"/>
      <c r="J232" s="2" t="s">
        <v>24</v>
      </c>
      <c r="K232" s="2" t="s">
        <v>33</v>
      </c>
      <c r="L232" s="2"/>
      <c r="M232" s="2"/>
      <c r="N232" s="2"/>
    </row>
    <row r="233" spans="1:14" ht="90" customHeight="1" x14ac:dyDescent="0.3">
      <c r="A233" s="2">
        <v>6</v>
      </c>
      <c r="B233" s="2" t="s">
        <v>1181</v>
      </c>
      <c r="C233" s="2" t="s">
        <v>1182</v>
      </c>
      <c r="D233" s="2" t="s">
        <v>1183</v>
      </c>
      <c r="E233" s="2" t="s">
        <v>950</v>
      </c>
      <c r="F233" s="2" t="s">
        <v>1184</v>
      </c>
      <c r="G233" s="2" t="s">
        <v>1185</v>
      </c>
      <c r="H233" s="2" t="s">
        <v>1186</v>
      </c>
      <c r="I233" s="2"/>
      <c r="J233" s="2" t="s">
        <v>24</v>
      </c>
      <c r="K233" s="2" t="s">
        <v>40</v>
      </c>
      <c r="L233" s="2"/>
      <c r="M233" s="2"/>
      <c r="N233" s="2"/>
    </row>
    <row r="234" spans="1:14" ht="90" customHeight="1" x14ac:dyDescent="0.3">
      <c r="A234" s="2">
        <v>7</v>
      </c>
      <c r="B234" s="2" t="s">
        <v>1187</v>
      </c>
      <c r="C234" s="2" t="s">
        <v>1188</v>
      </c>
      <c r="D234" s="2" t="s">
        <v>1189</v>
      </c>
      <c r="E234" s="2" t="s">
        <v>20</v>
      </c>
      <c r="F234" s="2" t="s">
        <v>1190</v>
      </c>
      <c r="G234" s="2" t="s">
        <v>1191</v>
      </c>
      <c r="H234" s="2" t="s">
        <v>1192</v>
      </c>
      <c r="I234" s="2"/>
      <c r="J234" s="2" t="s">
        <v>24</v>
      </c>
      <c r="K234" s="2" t="s">
        <v>33</v>
      </c>
      <c r="L234" s="2"/>
      <c r="M234" s="2"/>
      <c r="N234" s="2" t="s">
        <v>93</v>
      </c>
    </row>
    <row r="235" spans="1:14" ht="90" customHeight="1" x14ac:dyDescent="0.3">
      <c r="A235" s="2">
        <v>8</v>
      </c>
      <c r="B235" s="2" t="s">
        <v>1193</v>
      </c>
      <c r="C235" s="2" t="s">
        <v>1194</v>
      </c>
      <c r="D235" s="2" t="s">
        <v>1195</v>
      </c>
      <c r="E235" s="2" t="s">
        <v>20</v>
      </c>
      <c r="F235" s="2" t="s">
        <v>1196</v>
      </c>
      <c r="G235" s="2" t="s">
        <v>1197</v>
      </c>
      <c r="H235" s="2" t="s">
        <v>1198</v>
      </c>
      <c r="I235" s="2"/>
      <c r="J235" s="2" t="s">
        <v>24</v>
      </c>
      <c r="K235" s="2" t="s">
        <v>33</v>
      </c>
      <c r="L235" s="2"/>
      <c r="M235" s="2"/>
      <c r="N235" s="2" t="s">
        <v>93</v>
      </c>
    </row>
    <row r="236" spans="1:14" ht="90" customHeight="1" x14ac:dyDescent="0.3">
      <c r="A236" s="2">
        <v>9</v>
      </c>
      <c r="B236" s="2" t="s">
        <v>1199</v>
      </c>
      <c r="C236" s="2" t="s">
        <v>1200</v>
      </c>
      <c r="D236" s="2" t="s">
        <v>1201</v>
      </c>
      <c r="E236" s="2" t="s">
        <v>20</v>
      </c>
      <c r="F236" s="2" t="s">
        <v>1202</v>
      </c>
      <c r="G236" s="2" t="s">
        <v>1203</v>
      </c>
      <c r="H236" s="2" t="s">
        <v>1204</v>
      </c>
      <c r="I236" s="2"/>
      <c r="J236" s="2" t="s">
        <v>24</v>
      </c>
      <c r="K236" s="2" t="s">
        <v>33</v>
      </c>
      <c r="L236" s="2"/>
      <c r="M236" s="2"/>
      <c r="N236" s="2" t="s">
        <v>93</v>
      </c>
    </row>
    <row r="237" spans="1:14" ht="90" customHeight="1" x14ac:dyDescent="0.3">
      <c r="A237" s="2">
        <v>10</v>
      </c>
      <c r="B237" s="2" t="s">
        <v>1205</v>
      </c>
      <c r="C237" s="2" t="s">
        <v>1206</v>
      </c>
      <c r="D237" s="2" t="s">
        <v>1207</v>
      </c>
      <c r="E237" s="2" t="s">
        <v>20</v>
      </c>
      <c r="F237" s="2" t="s">
        <v>1208</v>
      </c>
      <c r="G237" s="2" t="s">
        <v>1209</v>
      </c>
      <c r="H237" s="2" t="s">
        <v>1210</v>
      </c>
      <c r="I237" s="2"/>
      <c r="J237" s="2" t="s">
        <v>24</v>
      </c>
      <c r="K237" s="2" t="s">
        <v>33</v>
      </c>
      <c r="L237" s="2"/>
      <c r="M237" s="2"/>
      <c r="N237" s="2" t="s">
        <v>1211</v>
      </c>
    </row>
    <row r="238" spans="1:14" ht="90" customHeight="1" x14ac:dyDescent="0.3">
      <c r="A238" s="2">
        <v>11</v>
      </c>
      <c r="B238" s="2" t="s">
        <v>1212</v>
      </c>
      <c r="C238" s="2" t="s">
        <v>1213</v>
      </c>
      <c r="D238" s="2" t="s">
        <v>1214</v>
      </c>
      <c r="E238" s="2" t="s">
        <v>20</v>
      </c>
      <c r="F238" s="2" t="s">
        <v>1215</v>
      </c>
      <c r="G238" s="2" t="s">
        <v>1216</v>
      </c>
      <c r="H238" s="2" t="s">
        <v>1217</v>
      </c>
      <c r="I238" s="2"/>
      <c r="J238" s="2" t="s">
        <v>24</v>
      </c>
      <c r="K238" s="2" t="s">
        <v>40</v>
      </c>
      <c r="L238" s="2"/>
      <c r="M238" s="2"/>
      <c r="N238" s="2" t="s">
        <v>1218</v>
      </c>
    </row>
    <row r="239" spans="1:14" ht="90" customHeight="1" x14ac:dyDescent="0.3">
      <c r="A239" s="2">
        <v>12</v>
      </c>
      <c r="B239" s="2" t="s">
        <v>1219</v>
      </c>
      <c r="C239" s="2" t="s">
        <v>1220</v>
      </c>
      <c r="D239" s="2" t="s">
        <v>1221</v>
      </c>
      <c r="E239" s="2" t="s">
        <v>20</v>
      </c>
      <c r="F239" s="2" t="s">
        <v>1222</v>
      </c>
      <c r="G239" s="2" t="s">
        <v>1223</v>
      </c>
      <c r="H239" s="2" t="s">
        <v>1224</v>
      </c>
      <c r="I239" s="2"/>
      <c r="J239" s="2" t="s">
        <v>24</v>
      </c>
      <c r="K239" s="2" t="s">
        <v>33</v>
      </c>
      <c r="L239" s="2"/>
      <c r="M239" s="2"/>
      <c r="N239" s="2"/>
    </row>
    <row r="240" spans="1:14" ht="90" customHeight="1" x14ac:dyDescent="0.3">
      <c r="A240" s="2">
        <v>13</v>
      </c>
      <c r="B240" s="2" t="s">
        <v>1225</v>
      </c>
      <c r="C240" s="2" t="s">
        <v>1226</v>
      </c>
      <c r="D240" s="2" t="s">
        <v>1227</v>
      </c>
      <c r="E240" s="2" t="s">
        <v>20</v>
      </c>
      <c r="F240" s="2" t="s">
        <v>1228</v>
      </c>
      <c r="G240" s="2" t="s">
        <v>1229</v>
      </c>
      <c r="H240" s="2" t="s">
        <v>1230</v>
      </c>
      <c r="I240" s="2"/>
      <c r="J240" s="2" t="s">
        <v>24</v>
      </c>
      <c r="K240" s="2" t="s">
        <v>33</v>
      </c>
      <c r="L240" s="2"/>
      <c r="M240" s="2"/>
      <c r="N240" s="2" t="s">
        <v>1231</v>
      </c>
    </row>
    <row r="241" spans="1:14" ht="90" customHeight="1" x14ac:dyDescent="0.3">
      <c r="A241" s="2">
        <v>14</v>
      </c>
      <c r="B241" s="2" t="s">
        <v>1232</v>
      </c>
      <c r="C241" s="2" t="s">
        <v>1233</v>
      </c>
      <c r="D241" s="2" t="s">
        <v>1234</v>
      </c>
      <c r="E241" s="2" t="s">
        <v>20</v>
      </c>
      <c r="F241" s="2" t="s">
        <v>1235</v>
      </c>
      <c r="G241" s="2" t="s">
        <v>1236</v>
      </c>
      <c r="H241" s="2" t="s">
        <v>1237</v>
      </c>
      <c r="I241" s="2"/>
      <c r="J241" s="2" t="s">
        <v>24</v>
      </c>
      <c r="K241" s="2" t="s">
        <v>40</v>
      </c>
      <c r="L241" s="2"/>
      <c r="M241" s="2"/>
      <c r="N241" s="2"/>
    </row>
    <row r="242" spans="1:14" ht="90" customHeight="1" x14ac:dyDescent="0.3">
      <c r="A242" s="2">
        <v>15</v>
      </c>
      <c r="B242" s="2" t="s">
        <v>1238</v>
      </c>
      <c r="C242" s="2" t="s">
        <v>1239</v>
      </c>
      <c r="D242" s="2" t="s">
        <v>1240</v>
      </c>
      <c r="E242" s="2" t="s">
        <v>20</v>
      </c>
      <c r="F242" s="2" t="s">
        <v>1241</v>
      </c>
      <c r="G242" s="2" t="s">
        <v>1242</v>
      </c>
      <c r="H242" s="2" t="s">
        <v>1243</v>
      </c>
      <c r="I242" s="2"/>
      <c r="J242" s="2" t="s">
        <v>24</v>
      </c>
      <c r="K242" s="2" t="s">
        <v>25</v>
      </c>
      <c r="L242" s="2"/>
      <c r="M242" s="2"/>
      <c r="N242" s="2" t="s">
        <v>1244</v>
      </c>
    </row>
    <row r="243" spans="1:14" ht="90" customHeight="1" x14ac:dyDescent="0.3">
      <c r="A243" s="2">
        <v>16</v>
      </c>
      <c r="B243" s="2" t="s">
        <v>1245</v>
      </c>
      <c r="C243" s="2" t="s">
        <v>1246</v>
      </c>
      <c r="D243" s="2" t="s">
        <v>1247</v>
      </c>
      <c r="E243" s="2" t="s">
        <v>20</v>
      </c>
      <c r="F243" s="2" t="s">
        <v>1248</v>
      </c>
      <c r="G243" s="2" t="s">
        <v>1249</v>
      </c>
      <c r="H243" s="2" t="s">
        <v>1250</v>
      </c>
      <c r="I243" s="2"/>
      <c r="J243" s="2" t="s">
        <v>24</v>
      </c>
      <c r="K243" s="2" t="s">
        <v>33</v>
      </c>
      <c r="L243" s="2"/>
      <c r="M243" s="2"/>
      <c r="N243" s="2"/>
    </row>
    <row r="244" spans="1:14" ht="90" customHeight="1" x14ac:dyDescent="0.3">
      <c r="A244" s="2">
        <v>17</v>
      </c>
      <c r="B244" s="2" t="s">
        <v>1251</v>
      </c>
      <c r="C244" s="2" t="s">
        <v>1252</v>
      </c>
      <c r="D244" s="2" t="s">
        <v>1253</v>
      </c>
      <c r="E244" s="2" t="s">
        <v>20</v>
      </c>
      <c r="F244" s="2" t="s">
        <v>1254</v>
      </c>
      <c r="G244" s="2" t="s">
        <v>1255</v>
      </c>
      <c r="H244" s="2" t="s">
        <v>1256</v>
      </c>
      <c r="I244" s="2"/>
      <c r="J244" s="2" t="s">
        <v>24</v>
      </c>
      <c r="K244" s="2" t="s">
        <v>33</v>
      </c>
      <c r="L244" s="2"/>
      <c r="M244" s="2"/>
      <c r="N244" s="2"/>
    </row>
  </sheetData>
  <mergeCells count="17">
    <mergeCell ref="A1:N1"/>
    <mergeCell ref="A171:N171"/>
    <mergeCell ref="A2:N2"/>
    <mergeCell ref="A60:N60"/>
    <mergeCell ref="A226:N226"/>
    <mergeCell ref="A190:N190"/>
    <mergeCell ref="A73:N73"/>
    <mergeCell ref="A19:N19"/>
    <mergeCell ref="A118:N118"/>
    <mergeCell ref="A42:N42"/>
    <mergeCell ref="A207:N207"/>
    <mergeCell ref="A146:N146"/>
    <mergeCell ref="A3:N3"/>
    <mergeCell ref="A131:N131"/>
    <mergeCell ref="A4:N4"/>
    <mergeCell ref="A88:N88"/>
    <mergeCell ref="A101:N101"/>
  </mergeCells>
  <dataValidations count="2">
    <dataValidation type="list" allowBlank="1" sqref="J6:J17 J21:J40 J44:J58 J62:J71 J75:J86 J90:J99 J103:J116 J120:J129 J133:J144 J148:J169 J173:J188 J192:J205 J209:J224 J228:J244">
      <formula1>"Pass,Fail,Blocked,Untested"</formula1>
      <formula2>0</formula2>
    </dataValidation>
    <dataValidation type="list" allowBlank="1" sqref="K6:K17 K21:K40 K44:K58 K62:K71 K75:K86 K90:K99 K103:K116 K120:K129 K133:K144 K148:K169 K173:K188 K192:K205 K209:K224 K228:K244">
      <formula1>"Critical,Major,Minor"</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2"/>
  <sheetViews>
    <sheetView showGridLines="0" zoomScaleNormal="100" workbookViewId="0"/>
  </sheetViews>
  <sheetFormatPr defaultColWidth="8.6640625" defaultRowHeight="14.4" x14ac:dyDescent="0.3"/>
  <cols>
    <col min="1" max="1" width="42" style="11" customWidth="1"/>
    <col min="2" max="2" width="16" style="11" customWidth="1"/>
  </cols>
  <sheetData>
    <row r="1" spans="1:2" ht="27.75" customHeight="1" x14ac:dyDescent="0.3">
      <c r="A1" s="16" t="s">
        <v>1257</v>
      </c>
      <c r="B1" s="13"/>
    </row>
    <row r="3" spans="1:2" ht="15" customHeight="1" x14ac:dyDescent="0.3">
      <c r="A3" s="3" t="s">
        <v>1258</v>
      </c>
      <c r="B3" s="3" t="s">
        <v>1259</v>
      </c>
    </row>
    <row r="4" spans="1:2" ht="15" customHeight="1" x14ac:dyDescent="0.3">
      <c r="A4" s="4" t="s">
        <v>1260</v>
      </c>
      <c r="B4" s="5">
        <f>COUNTA('Test Cases'!B4:B245)-14</f>
        <v>200</v>
      </c>
    </row>
    <row r="5" spans="1:2" ht="15" customHeight="1" x14ac:dyDescent="0.3">
      <c r="A5" s="4" t="s">
        <v>1261</v>
      </c>
      <c r="B5" s="6">
        <f>COUNTIF('Test Cases'!J4:J245,"Pass")</f>
        <v>0</v>
      </c>
    </row>
    <row r="6" spans="1:2" ht="15" customHeight="1" x14ac:dyDescent="0.3">
      <c r="A6" s="4" t="s">
        <v>1262</v>
      </c>
      <c r="B6" s="6">
        <f>COUNTIF('Test Cases'!J4:J245,"Fail")</f>
        <v>0</v>
      </c>
    </row>
    <row r="7" spans="1:2" ht="15" customHeight="1" x14ac:dyDescent="0.3">
      <c r="A7" s="4" t="s">
        <v>1263</v>
      </c>
      <c r="B7" s="6">
        <f>COUNTIF('Test Cases'!J4:J245,"Blocked")</f>
        <v>0</v>
      </c>
    </row>
    <row r="8" spans="1:2" ht="15" customHeight="1" x14ac:dyDescent="0.3">
      <c r="A8" s="4" t="s">
        <v>1264</v>
      </c>
      <c r="B8" s="6">
        <f>COUNTIF('Test Cases'!J4:J245,"Untested")</f>
        <v>200</v>
      </c>
    </row>
    <row r="9" spans="1:2" ht="15" customHeight="1" x14ac:dyDescent="0.3">
      <c r="A9" s="4" t="s">
        <v>1265</v>
      </c>
      <c r="B9" s="6" t="s">
        <v>1266</v>
      </c>
    </row>
    <row r="11" spans="1:2" ht="15" customHeight="1" x14ac:dyDescent="0.3">
      <c r="A11" s="12" t="s">
        <v>1267</v>
      </c>
      <c r="B11" s="13"/>
    </row>
    <row r="12" spans="1:2" ht="15" customHeight="1" x14ac:dyDescent="0.3">
      <c r="A12" s="3" t="s">
        <v>1268</v>
      </c>
      <c r="B12" s="3" t="s">
        <v>1269</v>
      </c>
    </row>
    <row r="13" spans="1:2" ht="15" customHeight="1" x14ac:dyDescent="0.3">
      <c r="A13" s="4" t="s">
        <v>1270</v>
      </c>
      <c r="B13" s="6">
        <f>COUNTIF('Test Cases'!$B$4:$B$245,"TC_HOME_*")</f>
        <v>12</v>
      </c>
    </row>
    <row r="14" spans="1:2" ht="15" customHeight="1" x14ac:dyDescent="0.3">
      <c r="A14" s="4" t="s">
        <v>1271</v>
      </c>
      <c r="B14" s="6">
        <f>COUNTIF('Test Cases'!$B$4:$B$245,"TC_CAT_*")</f>
        <v>20</v>
      </c>
    </row>
    <row r="15" spans="1:2" ht="15" customHeight="1" x14ac:dyDescent="0.3">
      <c r="A15" s="4" t="s">
        <v>1272</v>
      </c>
      <c r="B15" s="6">
        <f>COUNTIF('Test Cases'!$B$4:$B$245,"TC_SEARCH_*")</f>
        <v>15</v>
      </c>
    </row>
    <row r="16" spans="1:2" ht="15" customHeight="1" x14ac:dyDescent="0.3">
      <c r="A16" s="4" t="s">
        <v>1273</v>
      </c>
      <c r="B16" s="6">
        <f>COUNTIF('Test Cases'!$B$4:$B$245,"TC_GAL_*")</f>
        <v>10</v>
      </c>
    </row>
    <row r="17" spans="1:2" ht="15" customHeight="1" x14ac:dyDescent="0.3">
      <c r="A17" s="4" t="s">
        <v>1274</v>
      </c>
      <c r="B17" s="6">
        <f>COUNTIF('Test Cases'!$B$4:$B$245,"TC_MEDIA_*")</f>
        <v>12</v>
      </c>
    </row>
    <row r="18" spans="1:2" ht="15" customHeight="1" x14ac:dyDescent="0.3">
      <c r="A18" s="4" t="s">
        <v>1275</v>
      </c>
      <c r="B18" s="6">
        <f>COUNTIF('Test Cases'!$B$4:$B$245,"TC_ART_*")</f>
        <v>10</v>
      </c>
    </row>
    <row r="19" spans="1:2" ht="15" customHeight="1" x14ac:dyDescent="0.3">
      <c r="A19" s="4" t="s">
        <v>1276</v>
      </c>
      <c r="B19" s="6">
        <f>COUNTIF('Test Cases'!$B$4:$B$245,"TC_CHAR_*")</f>
        <v>14</v>
      </c>
    </row>
    <row r="20" spans="1:2" ht="15" customHeight="1" x14ac:dyDescent="0.3">
      <c r="A20" s="4" t="s">
        <v>1277</v>
      </c>
      <c r="B20" s="6">
        <f>COUNTIF('Test Cases'!$B$4:$B$245,"TC_EVT_*")</f>
        <v>10</v>
      </c>
    </row>
    <row r="21" spans="1:2" ht="15" customHeight="1" x14ac:dyDescent="0.3">
      <c r="A21" s="4" t="s">
        <v>1278</v>
      </c>
      <c r="B21" s="6">
        <f>COUNTIF('Test Cases'!$B$4:$B$245,"TC_TRL_*")</f>
        <v>12</v>
      </c>
    </row>
    <row r="22" spans="1:2" ht="15" customHeight="1" x14ac:dyDescent="0.3">
      <c r="A22" s="4" t="s">
        <v>1279</v>
      </c>
      <c r="B22" s="6">
        <f>COUNTIF('Test Cases'!$B$4:$B$245,"TC_MERCH_*")</f>
        <v>22</v>
      </c>
    </row>
    <row r="23" spans="1:2" ht="15" customHeight="1" x14ac:dyDescent="0.3">
      <c r="A23" s="4" t="s">
        <v>1280</v>
      </c>
      <c r="B23" s="6">
        <f>COUNTIF('Test Cases'!$B$4:$B$245,"TC_BOT_*")</f>
        <v>16</v>
      </c>
    </row>
    <row r="24" spans="1:2" ht="15" customHeight="1" x14ac:dyDescent="0.3">
      <c r="A24" s="4" t="s">
        <v>1281</v>
      </c>
      <c r="B24" s="6">
        <f>COUNTIF('Test Cases'!$B$4:$B$245,"TC_BM_*")</f>
        <v>14</v>
      </c>
    </row>
    <row r="25" spans="1:2" ht="15" customHeight="1" x14ac:dyDescent="0.3">
      <c r="A25" s="4" t="s">
        <v>1282</v>
      </c>
      <c r="B25" s="6">
        <f>COUNTIF('Test Cases'!$B$4:$B$245,"TC_MISC_*")</f>
        <v>16</v>
      </c>
    </row>
    <row r="26" spans="1:2" ht="15" customHeight="1" x14ac:dyDescent="0.3">
      <c r="A26" s="4" t="s">
        <v>1283</v>
      </c>
      <c r="B26" s="6">
        <f>COUNTIF('Test Cases'!$B$4:$B$245,"TC_QA_*")</f>
        <v>17</v>
      </c>
    </row>
    <row r="28" spans="1:2" ht="15" customHeight="1" x14ac:dyDescent="0.3">
      <c r="A28" s="12" t="s">
        <v>1284</v>
      </c>
      <c r="B28" s="13"/>
    </row>
    <row r="29" spans="1:2" ht="15" customHeight="1" x14ac:dyDescent="0.3">
      <c r="A29" s="3" t="s">
        <v>1285</v>
      </c>
      <c r="B29" s="3" t="s">
        <v>1269</v>
      </c>
    </row>
    <row r="30" spans="1:2" ht="15" customHeight="1" x14ac:dyDescent="0.3">
      <c r="A30" s="4" t="s">
        <v>25</v>
      </c>
      <c r="B30" s="6">
        <f>COUNTIF('Test Cases'!K4:K245,"Critical")</f>
        <v>17</v>
      </c>
    </row>
    <row r="31" spans="1:2" ht="15" customHeight="1" x14ac:dyDescent="0.3">
      <c r="A31" s="4" t="s">
        <v>40</v>
      </c>
      <c r="B31" s="6">
        <f>COUNTIF('Test Cases'!K4:K245,"Major")</f>
        <v>65</v>
      </c>
    </row>
    <row r="32" spans="1:2" ht="15" customHeight="1" x14ac:dyDescent="0.3">
      <c r="A32" s="4" t="s">
        <v>33</v>
      </c>
      <c r="B32" s="6">
        <f>COUNTIF('Test Cases'!K4:K245,"Minor")</f>
        <v>118</v>
      </c>
    </row>
  </sheetData>
  <mergeCells count="3">
    <mergeCell ref="A11:B11"/>
    <mergeCell ref="A1:B1"/>
    <mergeCell ref="A28:B2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39"/>
  <sheetViews>
    <sheetView showGridLines="0" zoomScaleNormal="100" workbookViewId="0">
      <pane ySplit="2" topLeftCell="A3" activePane="bottomLeft" state="frozen"/>
      <selection pane="bottomLeft"/>
    </sheetView>
  </sheetViews>
  <sheetFormatPr defaultColWidth="8.6640625" defaultRowHeight="14.4" x14ac:dyDescent="0.3"/>
  <cols>
    <col min="1" max="1" width="125" style="11" customWidth="1"/>
  </cols>
  <sheetData>
    <row r="1" spans="1:1" ht="34.049999999999997" customHeight="1" x14ac:dyDescent="0.3">
      <c r="A1" s="7" t="s">
        <v>1286</v>
      </c>
    </row>
    <row r="2" spans="1:1" ht="7.95" customHeight="1" x14ac:dyDescent="0.3">
      <c r="A2" s="8"/>
    </row>
    <row r="3" spans="1:1" ht="25.95" customHeight="1" x14ac:dyDescent="0.3">
      <c r="A3" s="9" t="s">
        <v>1287</v>
      </c>
    </row>
    <row r="4" spans="1:1" ht="40.049999999999997" customHeight="1" x14ac:dyDescent="0.3">
      <c r="A4" s="10" t="s">
        <v>1288</v>
      </c>
    </row>
    <row r="5" spans="1:1" ht="40.049999999999997" customHeight="1" x14ac:dyDescent="0.3">
      <c r="A5" s="10" t="s">
        <v>1289</v>
      </c>
    </row>
    <row r="6" spans="1:1" ht="55.95" customHeight="1" x14ac:dyDescent="0.3">
      <c r="A6" s="10" t="s">
        <v>1290</v>
      </c>
    </row>
    <row r="7" spans="1:1" ht="7.95" customHeight="1" x14ac:dyDescent="0.3">
      <c r="A7" s="8"/>
    </row>
    <row r="8" spans="1:1" ht="25.95" customHeight="1" x14ac:dyDescent="0.3">
      <c r="A8" s="9" t="s">
        <v>1291</v>
      </c>
    </row>
    <row r="9" spans="1:1" ht="55.95" customHeight="1" x14ac:dyDescent="0.3">
      <c r="A9" s="10" t="s">
        <v>1292</v>
      </c>
    </row>
    <row r="10" spans="1:1" ht="40.049999999999997" customHeight="1" x14ac:dyDescent="0.3">
      <c r="A10" s="10" t="s">
        <v>1293</v>
      </c>
    </row>
    <row r="11" spans="1:1" ht="24" customHeight="1" x14ac:dyDescent="0.3">
      <c r="A11" s="10" t="s">
        <v>1294</v>
      </c>
    </row>
    <row r="12" spans="1:1" ht="7.95" customHeight="1" x14ac:dyDescent="0.3">
      <c r="A12" s="8"/>
    </row>
    <row r="13" spans="1:1" ht="25.95" customHeight="1" x14ac:dyDescent="0.3">
      <c r="A13" s="9" t="s">
        <v>1295</v>
      </c>
    </row>
    <row r="14" spans="1:1" ht="24" customHeight="1" x14ac:dyDescent="0.3">
      <c r="A14" s="10" t="s">
        <v>1296</v>
      </c>
    </row>
    <row r="15" spans="1:1" ht="24" customHeight="1" x14ac:dyDescent="0.3">
      <c r="A15" s="10" t="s">
        <v>1297</v>
      </c>
    </row>
    <row r="16" spans="1:1" ht="24" customHeight="1" x14ac:dyDescent="0.3">
      <c r="A16" s="10" t="s">
        <v>1298</v>
      </c>
    </row>
    <row r="17" spans="1:1" ht="24" customHeight="1" x14ac:dyDescent="0.3">
      <c r="A17" s="10" t="s">
        <v>1299</v>
      </c>
    </row>
    <row r="18" spans="1:1" ht="24" customHeight="1" x14ac:dyDescent="0.3">
      <c r="A18" s="10" t="s">
        <v>1300</v>
      </c>
    </row>
    <row r="19" spans="1:1" ht="24" customHeight="1" x14ac:dyDescent="0.3">
      <c r="A19" s="10" t="s">
        <v>1301</v>
      </c>
    </row>
    <row r="20" spans="1:1" ht="24" customHeight="1" x14ac:dyDescent="0.3">
      <c r="A20" s="10" t="s">
        <v>1302</v>
      </c>
    </row>
    <row r="21" spans="1:1" ht="24" customHeight="1" x14ac:dyDescent="0.3">
      <c r="A21" s="10" t="s">
        <v>1303</v>
      </c>
    </row>
    <row r="22" spans="1:1" ht="24" customHeight="1" x14ac:dyDescent="0.3">
      <c r="A22" s="10" t="s">
        <v>1304</v>
      </c>
    </row>
    <row r="23" spans="1:1" ht="24" customHeight="1" x14ac:dyDescent="0.3">
      <c r="A23" s="10" t="s">
        <v>1305</v>
      </c>
    </row>
    <row r="24" spans="1:1" ht="24" customHeight="1" x14ac:dyDescent="0.3">
      <c r="A24" s="10" t="s">
        <v>1306</v>
      </c>
    </row>
    <row r="25" spans="1:1" ht="24" customHeight="1" x14ac:dyDescent="0.3">
      <c r="A25" s="10" t="s">
        <v>1307</v>
      </c>
    </row>
    <row r="26" spans="1:1" ht="24" customHeight="1" x14ac:dyDescent="0.3">
      <c r="A26" s="10" t="s">
        <v>1308</v>
      </c>
    </row>
    <row r="27" spans="1:1" ht="40.049999999999997" customHeight="1" x14ac:dyDescent="0.3">
      <c r="A27" s="10" t="s">
        <v>1309</v>
      </c>
    </row>
    <row r="28" spans="1:1" ht="7.95" customHeight="1" x14ac:dyDescent="0.3">
      <c r="A28" s="8"/>
    </row>
    <row r="29" spans="1:1" ht="25.95" customHeight="1" x14ac:dyDescent="0.3">
      <c r="A29" s="9" t="s">
        <v>1310</v>
      </c>
    </row>
    <row r="30" spans="1:1" ht="24" customHeight="1" x14ac:dyDescent="0.3">
      <c r="A30" s="10" t="s">
        <v>1311</v>
      </c>
    </row>
    <row r="31" spans="1:1" ht="24" customHeight="1" x14ac:dyDescent="0.3">
      <c r="A31" s="10" t="s">
        <v>1312</v>
      </c>
    </row>
    <row r="32" spans="1:1" ht="40.049999999999997" customHeight="1" x14ac:dyDescent="0.3">
      <c r="A32" s="10" t="s">
        <v>1313</v>
      </c>
    </row>
    <row r="33" spans="1:1" ht="24" customHeight="1" x14ac:dyDescent="0.3">
      <c r="A33" s="10" t="s">
        <v>1314</v>
      </c>
    </row>
    <row r="34" spans="1:1" ht="7.95" customHeight="1" x14ac:dyDescent="0.3">
      <c r="A34" s="8"/>
    </row>
    <row r="35" spans="1:1" ht="25.95" customHeight="1" x14ac:dyDescent="0.3">
      <c r="A35" s="9" t="s">
        <v>1315</v>
      </c>
    </row>
    <row r="36" spans="1:1" ht="40.049999999999997" customHeight="1" x14ac:dyDescent="0.3">
      <c r="A36" s="10" t="s">
        <v>1316</v>
      </c>
    </row>
    <row r="37" spans="1:1" ht="40.049999999999997" customHeight="1" x14ac:dyDescent="0.3">
      <c r="A37" s="10" t="s">
        <v>1317</v>
      </c>
    </row>
    <row r="38" spans="1:1" ht="40.049999999999997" customHeight="1" x14ac:dyDescent="0.3">
      <c r="A38" s="10" t="s">
        <v>1318</v>
      </c>
    </row>
    <row r="39" spans="1:1" ht="24" customHeight="1" x14ac:dyDescent="0.3">
      <c r="A39" s="10" t="s">
        <v>1319</v>
      </c>
    </row>
  </sheetData>
  <pageMargins left="0.75" right="0.75" top="1" bottom="1" header="0.511811023622047" footer="0.511811023622047"/>
  <pageSetup paperSize="9" fitToHeight="0"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Test Cases</vt:lpstr>
      <vt:lpstr>Tổng hợp</vt:lpstr>
      <vt:lpstr>Hướng dẫn</vt:lpstr>
      <vt:lpstr>'Hướng dẫn'!Print_Area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Phuong Le</cp:lastModifiedBy>
  <cp:revision>0</cp:revision>
  <dcterms:created xsi:type="dcterms:W3CDTF">2026-09-23T06:57:18Z</dcterms:created>
  <dcterms:modified xsi:type="dcterms:W3CDTF">2026-09-23T16:08:59Z</dcterms:modified>
  <dc:language>en-US</dc:language>
</cp:coreProperties>
</file>